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OMSA\ISyE6748_practicum_publish\Results\"/>
    </mc:Choice>
  </mc:AlternateContent>
  <xr:revisionPtr revIDLastSave="0" documentId="13_ncr:1_{40A80610-3BF1-4D85-9AF3-8759B9C876BB}" xr6:coauthVersionLast="47" xr6:coauthVersionMax="47" xr10:uidLastSave="{00000000-0000-0000-0000-000000000000}"/>
  <bookViews>
    <workbookView xWindow="-108" yWindow="-108" windowWidth="23256" windowHeight="12576" activeTab="6" xr2:uid="{04B751BC-B754-441C-9BFC-9BAD02731FDA}"/>
  </bookViews>
  <sheets>
    <sheet name="Summary" sheetId="1" r:id="rId1"/>
    <sheet name="Formatted" sheetId="9" r:id="rId2"/>
    <sheet name="Memory" sheetId="6" r:id="rId3"/>
    <sheet name="Runtime" sheetId="8" r:id="rId4"/>
    <sheet name="Test assignment" sheetId="5" r:id="rId5"/>
    <sheet name="PCA" sheetId="3" r:id="rId6"/>
    <sheet name="CP" sheetId="2" r:id="rId7"/>
    <sheet name="Tucker" sheetId="4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5" i="1" l="1"/>
  <c r="J363" i="1"/>
  <c r="J362" i="1"/>
  <c r="J353" i="1"/>
  <c r="J352" i="1"/>
  <c r="J351" i="1"/>
  <c r="J348" i="1"/>
  <c r="J347" i="1"/>
  <c r="J346" i="1"/>
  <c r="J343" i="1"/>
  <c r="J342" i="1"/>
  <c r="J341" i="1"/>
  <c r="J338" i="1"/>
  <c r="J337" i="1"/>
  <c r="J336" i="1"/>
  <c r="J318" i="1"/>
  <c r="J317" i="1"/>
  <c r="J316" i="1"/>
  <c r="J313" i="1"/>
  <c r="J312" i="1"/>
  <c r="J311" i="1"/>
  <c r="J308" i="1"/>
  <c r="J307" i="1"/>
  <c r="J306" i="1"/>
  <c r="J303" i="1"/>
  <c r="J302" i="1"/>
  <c r="J301" i="1"/>
  <c r="J283" i="1"/>
  <c r="J282" i="1"/>
  <c r="J281" i="1"/>
  <c r="J278" i="1"/>
  <c r="J277" i="1"/>
  <c r="J276" i="1"/>
  <c r="J273" i="1"/>
  <c r="J272" i="1"/>
  <c r="J271" i="1"/>
  <c r="J268" i="1"/>
  <c r="J267" i="1"/>
  <c r="J266" i="1"/>
  <c r="J248" i="1"/>
  <c r="J247" i="1"/>
  <c r="J246" i="1"/>
  <c r="J243" i="1"/>
  <c r="J242" i="1"/>
  <c r="J241" i="1"/>
  <c r="J238" i="1"/>
  <c r="J237" i="1"/>
  <c r="J236" i="1"/>
  <c r="J233" i="1"/>
  <c r="J232" i="1"/>
  <c r="J231" i="1"/>
  <c r="J213" i="1"/>
  <c r="J212" i="1"/>
  <c r="J211" i="1"/>
  <c r="J208" i="1"/>
  <c r="J207" i="1"/>
  <c r="J206" i="1"/>
  <c r="J203" i="1"/>
  <c r="J202" i="1"/>
  <c r="J201" i="1"/>
  <c r="J198" i="1"/>
  <c r="J197" i="1"/>
  <c r="J196" i="1"/>
  <c r="J178" i="1"/>
  <c r="J177" i="1"/>
  <c r="J176" i="1"/>
  <c r="J173" i="1"/>
  <c r="J172" i="1"/>
  <c r="J171" i="1"/>
  <c r="J168" i="1"/>
  <c r="J167" i="1"/>
  <c r="J166" i="1"/>
  <c r="J163" i="1"/>
  <c r="J162" i="1"/>
  <c r="J161" i="1"/>
  <c r="J143" i="1"/>
  <c r="J142" i="1"/>
  <c r="J141" i="1"/>
  <c r="J138" i="1"/>
  <c r="J137" i="1"/>
  <c r="J136" i="1"/>
  <c r="J133" i="1"/>
  <c r="J132" i="1"/>
  <c r="J131" i="1"/>
  <c r="J128" i="1"/>
  <c r="J127" i="1"/>
  <c r="J126" i="1"/>
  <c r="J108" i="1"/>
  <c r="J107" i="1"/>
  <c r="J106" i="1"/>
  <c r="J103" i="1"/>
  <c r="J102" i="1"/>
  <c r="J101" i="1"/>
  <c r="J98" i="1"/>
  <c r="J97" i="1"/>
  <c r="J96" i="1"/>
  <c r="J93" i="1"/>
  <c r="J92" i="1"/>
  <c r="J91" i="1"/>
  <c r="J72" i="1"/>
  <c r="J71" i="1"/>
  <c r="J70" i="1"/>
  <c r="J67" i="1"/>
  <c r="J66" i="1"/>
  <c r="J65" i="1"/>
  <c r="J62" i="1"/>
  <c r="J61" i="1"/>
  <c r="J60" i="1"/>
  <c r="J57" i="1"/>
  <c r="J56" i="1"/>
  <c r="J55" i="1"/>
  <c r="AB30" i="1"/>
  <c r="AB29" i="1"/>
  <c r="AB28" i="1"/>
  <c r="AB24" i="1"/>
  <c r="AB23" i="1"/>
  <c r="AB22" i="1"/>
  <c r="AB18" i="1"/>
  <c r="AB17" i="1"/>
  <c r="AB16" i="1"/>
  <c r="AB12" i="1"/>
  <c r="AB11" i="1"/>
  <c r="AB10" i="1"/>
  <c r="S30" i="1"/>
  <c r="S29" i="1"/>
  <c r="S28" i="1"/>
  <c r="S24" i="1"/>
  <c r="S23" i="1"/>
  <c r="S22" i="1"/>
  <c r="S18" i="1"/>
  <c r="S17" i="1"/>
  <c r="S16" i="1"/>
  <c r="S12" i="1"/>
  <c r="S11" i="1"/>
  <c r="S10" i="1"/>
  <c r="J30" i="1"/>
  <c r="J29" i="1"/>
  <c r="J28" i="1"/>
  <c r="J24" i="1"/>
  <c r="J23" i="1"/>
  <c r="J22" i="1"/>
  <c r="J18" i="1"/>
  <c r="J17" i="1"/>
  <c r="J16" i="1"/>
  <c r="J12" i="1"/>
  <c r="J11" i="1"/>
  <c r="J10" i="1"/>
  <c r="F6" i="1"/>
  <c r="F5" i="1"/>
  <c r="F4" i="1"/>
  <c r="E5" i="1"/>
  <c r="E6" i="1"/>
  <c r="E4" i="1"/>
  <c r="S115" i="4"/>
  <c r="R115" i="4"/>
  <c r="Q115" i="4"/>
  <c r="P146" i="4"/>
  <c r="O146" i="4"/>
  <c r="N146" i="4"/>
  <c r="P145" i="4"/>
  <c r="O145" i="4"/>
  <c r="N145" i="4"/>
  <c r="P144" i="4"/>
  <c r="O144" i="4"/>
  <c r="N144" i="4"/>
  <c r="P143" i="4"/>
  <c r="O143" i="4"/>
  <c r="N143" i="4"/>
  <c r="P142" i="4"/>
  <c r="O142" i="4"/>
  <c r="N142" i="4"/>
  <c r="P141" i="4"/>
  <c r="O141" i="4"/>
  <c r="N141" i="4"/>
  <c r="P140" i="4"/>
  <c r="O140" i="4"/>
  <c r="N140" i="4"/>
  <c r="P139" i="4"/>
  <c r="O139" i="4"/>
  <c r="N139" i="4"/>
  <c r="P138" i="4"/>
  <c r="O138" i="4"/>
  <c r="N138" i="4"/>
  <c r="P137" i="4"/>
  <c r="O137" i="4"/>
  <c r="N137" i="4"/>
  <c r="P136" i="4"/>
  <c r="O136" i="4"/>
  <c r="N136" i="4"/>
  <c r="P135" i="4"/>
  <c r="O135" i="4"/>
  <c r="N135" i="4"/>
  <c r="P134" i="4"/>
  <c r="O134" i="4"/>
  <c r="N134" i="4"/>
  <c r="P133" i="4"/>
  <c r="O133" i="4"/>
  <c r="N133" i="4"/>
  <c r="P132" i="4"/>
  <c r="O132" i="4"/>
  <c r="N132" i="4"/>
  <c r="P131" i="4"/>
  <c r="O131" i="4"/>
  <c r="N131" i="4"/>
  <c r="P130" i="4"/>
  <c r="O130" i="4"/>
  <c r="N130" i="4"/>
  <c r="P129" i="4"/>
  <c r="O129" i="4"/>
  <c r="N129" i="4"/>
  <c r="P128" i="4"/>
  <c r="O128" i="4"/>
  <c r="N128" i="4"/>
  <c r="P127" i="4"/>
  <c r="O127" i="4"/>
  <c r="N127" i="4"/>
  <c r="P126" i="4"/>
  <c r="O126" i="4"/>
  <c r="N126" i="4"/>
  <c r="P125" i="4"/>
  <c r="O125" i="4"/>
  <c r="N125" i="4"/>
  <c r="P124" i="4"/>
  <c r="O124" i="4"/>
  <c r="N124" i="4"/>
  <c r="P123" i="4"/>
  <c r="O123" i="4"/>
  <c r="N123" i="4"/>
  <c r="P122" i="4"/>
  <c r="O122" i="4"/>
  <c r="N122" i="4"/>
  <c r="P121" i="4"/>
  <c r="O121" i="4"/>
  <c r="N121" i="4"/>
  <c r="P120" i="4"/>
  <c r="O120" i="4"/>
  <c r="N120" i="4"/>
  <c r="P119" i="4"/>
  <c r="O119" i="4"/>
  <c r="N119" i="4"/>
  <c r="P118" i="4"/>
  <c r="O118" i="4"/>
  <c r="N118" i="4"/>
  <c r="P117" i="4"/>
  <c r="O117" i="4"/>
  <c r="N117" i="4"/>
  <c r="P116" i="4"/>
  <c r="O116" i="4"/>
  <c r="N116" i="4"/>
  <c r="P115" i="4"/>
  <c r="O115" i="4"/>
  <c r="N115" i="4"/>
  <c r="S78" i="4"/>
  <c r="R78" i="4"/>
  <c r="Q78" i="4"/>
  <c r="P109" i="4"/>
  <c r="O109" i="4"/>
  <c r="N109" i="4"/>
  <c r="P108" i="4"/>
  <c r="O108" i="4"/>
  <c r="N108" i="4"/>
  <c r="P107" i="4"/>
  <c r="O107" i="4"/>
  <c r="N107" i="4"/>
  <c r="P106" i="4"/>
  <c r="O106" i="4"/>
  <c r="N106" i="4"/>
  <c r="P105" i="4"/>
  <c r="O105" i="4"/>
  <c r="N105" i="4"/>
  <c r="P104" i="4"/>
  <c r="O104" i="4"/>
  <c r="N104" i="4"/>
  <c r="P103" i="4"/>
  <c r="O103" i="4"/>
  <c r="N103" i="4"/>
  <c r="P102" i="4"/>
  <c r="O102" i="4"/>
  <c r="N102" i="4"/>
  <c r="P101" i="4"/>
  <c r="O101" i="4"/>
  <c r="N101" i="4"/>
  <c r="P100" i="4"/>
  <c r="O100" i="4"/>
  <c r="N100" i="4"/>
  <c r="P99" i="4"/>
  <c r="O99" i="4"/>
  <c r="N99" i="4"/>
  <c r="P98" i="4"/>
  <c r="O98" i="4"/>
  <c r="N98" i="4"/>
  <c r="P97" i="4"/>
  <c r="O97" i="4"/>
  <c r="N97" i="4"/>
  <c r="P96" i="4"/>
  <c r="O96" i="4"/>
  <c r="N96" i="4"/>
  <c r="P95" i="4"/>
  <c r="O95" i="4"/>
  <c r="N95" i="4"/>
  <c r="P94" i="4"/>
  <c r="O94" i="4"/>
  <c r="N94" i="4"/>
  <c r="P93" i="4"/>
  <c r="O93" i="4"/>
  <c r="N93" i="4"/>
  <c r="P92" i="4"/>
  <c r="O92" i="4"/>
  <c r="N92" i="4"/>
  <c r="P91" i="4"/>
  <c r="O91" i="4"/>
  <c r="N91" i="4"/>
  <c r="P90" i="4"/>
  <c r="O90" i="4"/>
  <c r="N90" i="4"/>
  <c r="P89" i="4"/>
  <c r="O89" i="4"/>
  <c r="N89" i="4"/>
  <c r="P88" i="4"/>
  <c r="O88" i="4"/>
  <c r="N88" i="4"/>
  <c r="P87" i="4"/>
  <c r="O87" i="4"/>
  <c r="N87" i="4"/>
  <c r="P86" i="4"/>
  <c r="O86" i="4"/>
  <c r="N86" i="4"/>
  <c r="P85" i="4"/>
  <c r="O85" i="4"/>
  <c r="N85" i="4"/>
  <c r="P84" i="4"/>
  <c r="O84" i="4"/>
  <c r="N84" i="4"/>
  <c r="P83" i="4"/>
  <c r="O83" i="4"/>
  <c r="N83" i="4"/>
  <c r="P82" i="4"/>
  <c r="O82" i="4"/>
  <c r="N82" i="4"/>
  <c r="P81" i="4"/>
  <c r="O81" i="4"/>
  <c r="N81" i="4"/>
  <c r="P80" i="4"/>
  <c r="O80" i="4"/>
  <c r="N80" i="4"/>
  <c r="P79" i="4"/>
  <c r="O79" i="4"/>
  <c r="N79" i="4"/>
  <c r="P78" i="4"/>
  <c r="O78" i="4"/>
  <c r="N78" i="4"/>
  <c r="S41" i="4"/>
  <c r="R41" i="4"/>
  <c r="Q41" i="4"/>
  <c r="P72" i="4"/>
  <c r="O72" i="4"/>
  <c r="N72" i="4"/>
  <c r="P71" i="4"/>
  <c r="O71" i="4"/>
  <c r="N71" i="4"/>
  <c r="P70" i="4"/>
  <c r="O70" i="4"/>
  <c r="N70" i="4"/>
  <c r="P69" i="4"/>
  <c r="O69" i="4"/>
  <c r="N69" i="4"/>
  <c r="P68" i="4"/>
  <c r="O68" i="4"/>
  <c r="N68" i="4"/>
  <c r="P67" i="4"/>
  <c r="O67" i="4"/>
  <c r="N67" i="4"/>
  <c r="P66" i="4"/>
  <c r="O66" i="4"/>
  <c r="N66" i="4"/>
  <c r="P65" i="4"/>
  <c r="O65" i="4"/>
  <c r="N65" i="4"/>
  <c r="P64" i="4"/>
  <c r="O64" i="4"/>
  <c r="N64" i="4"/>
  <c r="P63" i="4"/>
  <c r="O63" i="4"/>
  <c r="N63" i="4"/>
  <c r="P62" i="4"/>
  <c r="O62" i="4"/>
  <c r="N62" i="4"/>
  <c r="P61" i="4"/>
  <c r="O61" i="4"/>
  <c r="N61" i="4"/>
  <c r="P60" i="4"/>
  <c r="O60" i="4"/>
  <c r="N60" i="4"/>
  <c r="P59" i="4"/>
  <c r="O59" i="4"/>
  <c r="N59" i="4"/>
  <c r="P58" i="4"/>
  <c r="O58" i="4"/>
  <c r="N58" i="4"/>
  <c r="P57" i="4"/>
  <c r="O57" i="4"/>
  <c r="N57" i="4"/>
  <c r="P56" i="4"/>
  <c r="O56" i="4"/>
  <c r="N56" i="4"/>
  <c r="P55" i="4"/>
  <c r="O55" i="4"/>
  <c r="N55" i="4"/>
  <c r="P54" i="4"/>
  <c r="O54" i="4"/>
  <c r="N54" i="4"/>
  <c r="P53" i="4"/>
  <c r="O53" i="4"/>
  <c r="N53" i="4"/>
  <c r="P52" i="4"/>
  <c r="O52" i="4"/>
  <c r="N52" i="4"/>
  <c r="P51" i="4"/>
  <c r="O51" i="4"/>
  <c r="N51" i="4"/>
  <c r="P50" i="4"/>
  <c r="O50" i="4"/>
  <c r="N50" i="4"/>
  <c r="P49" i="4"/>
  <c r="O49" i="4"/>
  <c r="N49" i="4"/>
  <c r="P48" i="4"/>
  <c r="O48" i="4"/>
  <c r="N48" i="4"/>
  <c r="P47" i="4"/>
  <c r="O47" i="4"/>
  <c r="N47" i="4"/>
  <c r="P46" i="4"/>
  <c r="O46" i="4"/>
  <c r="N46" i="4"/>
  <c r="P45" i="4"/>
  <c r="O45" i="4"/>
  <c r="N45" i="4"/>
  <c r="P44" i="4"/>
  <c r="O44" i="4"/>
  <c r="N44" i="4"/>
  <c r="P43" i="4"/>
  <c r="O43" i="4"/>
  <c r="N43" i="4"/>
  <c r="P42" i="4"/>
  <c r="O42" i="4"/>
  <c r="N42" i="4"/>
  <c r="P41" i="4"/>
  <c r="O41" i="4"/>
  <c r="N41" i="4"/>
  <c r="S4" i="4"/>
  <c r="P35" i="4"/>
  <c r="O35" i="4"/>
  <c r="N35" i="4"/>
  <c r="P34" i="4"/>
  <c r="O34" i="4"/>
  <c r="N34" i="4"/>
  <c r="P33" i="4"/>
  <c r="O33" i="4"/>
  <c r="N33" i="4"/>
  <c r="P32" i="4"/>
  <c r="O32" i="4"/>
  <c r="N32" i="4"/>
  <c r="P31" i="4"/>
  <c r="O31" i="4"/>
  <c r="N31" i="4"/>
  <c r="P30" i="4"/>
  <c r="O30" i="4"/>
  <c r="N30" i="4"/>
  <c r="P29" i="4"/>
  <c r="O29" i="4"/>
  <c r="N29" i="4"/>
  <c r="P28" i="4"/>
  <c r="O28" i="4"/>
  <c r="N28" i="4"/>
  <c r="P27" i="4"/>
  <c r="O27" i="4"/>
  <c r="N27" i="4"/>
  <c r="P26" i="4"/>
  <c r="O26" i="4"/>
  <c r="N26" i="4"/>
  <c r="P25" i="4"/>
  <c r="O25" i="4"/>
  <c r="N25" i="4"/>
  <c r="P24" i="4"/>
  <c r="O24" i="4"/>
  <c r="N24" i="4"/>
  <c r="P23" i="4"/>
  <c r="O23" i="4"/>
  <c r="N23" i="4"/>
  <c r="P22" i="4"/>
  <c r="O22" i="4"/>
  <c r="N22" i="4"/>
  <c r="P21" i="4"/>
  <c r="O21" i="4"/>
  <c r="N21" i="4"/>
  <c r="P20" i="4"/>
  <c r="O20" i="4"/>
  <c r="N20" i="4"/>
  <c r="P19" i="4"/>
  <c r="O19" i="4"/>
  <c r="N19" i="4"/>
  <c r="P18" i="4"/>
  <c r="O18" i="4"/>
  <c r="N18" i="4"/>
  <c r="P17" i="4"/>
  <c r="O17" i="4"/>
  <c r="N17" i="4"/>
  <c r="P16" i="4"/>
  <c r="O16" i="4"/>
  <c r="N16" i="4"/>
  <c r="P15" i="4"/>
  <c r="O15" i="4"/>
  <c r="N15" i="4"/>
  <c r="P14" i="4"/>
  <c r="O14" i="4"/>
  <c r="N14" i="4"/>
  <c r="P13" i="4"/>
  <c r="O13" i="4"/>
  <c r="N13" i="4"/>
  <c r="P12" i="4"/>
  <c r="O12" i="4"/>
  <c r="N12" i="4"/>
  <c r="P11" i="4"/>
  <c r="O11" i="4"/>
  <c r="N11" i="4"/>
  <c r="P10" i="4"/>
  <c r="O10" i="4"/>
  <c r="N10" i="4"/>
  <c r="P9" i="4"/>
  <c r="O9" i="4"/>
  <c r="N9" i="4"/>
  <c r="P8" i="4"/>
  <c r="O8" i="4"/>
  <c r="N8" i="4"/>
  <c r="P7" i="4"/>
  <c r="O7" i="4"/>
  <c r="N7" i="4"/>
  <c r="P6" i="4"/>
  <c r="O6" i="4"/>
  <c r="N6" i="4"/>
  <c r="P5" i="4"/>
  <c r="O5" i="4"/>
  <c r="N5" i="4"/>
  <c r="N4" i="4"/>
  <c r="P4" i="4"/>
  <c r="O4" i="4"/>
  <c r="T318" i="3"/>
  <c r="S318" i="3"/>
  <c r="R318" i="3"/>
  <c r="Q318" i="3"/>
  <c r="T317" i="3"/>
  <c r="S317" i="3"/>
  <c r="R317" i="3"/>
  <c r="Q317" i="3"/>
  <c r="T316" i="3"/>
  <c r="S316" i="3"/>
  <c r="R316" i="3"/>
  <c r="Q316" i="3"/>
  <c r="T315" i="3"/>
  <c r="S315" i="3"/>
  <c r="R315" i="3"/>
  <c r="Q315" i="3"/>
  <c r="T314" i="3"/>
  <c r="S314" i="3"/>
  <c r="R314" i="3"/>
  <c r="Q314" i="3"/>
  <c r="T313" i="3"/>
  <c r="S313" i="3"/>
  <c r="R313" i="3"/>
  <c r="Q313" i="3"/>
  <c r="T312" i="3"/>
  <c r="S312" i="3"/>
  <c r="R312" i="3"/>
  <c r="Q312" i="3"/>
  <c r="T311" i="3"/>
  <c r="S311" i="3"/>
  <c r="R311" i="3"/>
  <c r="Q311" i="3"/>
  <c r="T310" i="3"/>
  <c r="S310" i="3"/>
  <c r="R310" i="3"/>
  <c r="Q310" i="3"/>
  <c r="T309" i="3"/>
  <c r="S309" i="3"/>
  <c r="R309" i="3"/>
  <c r="Q309" i="3"/>
  <c r="T308" i="3"/>
  <c r="S308" i="3"/>
  <c r="R308" i="3"/>
  <c r="Q308" i="3"/>
  <c r="T307" i="3"/>
  <c r="S307" i="3"/>
  <c r="R307" i="3"/>
  <c r="Q307" i="3"/>
  <c r="T306" i="3"/>
  <c r="S306" i="3"/>
  <c r="R306" i="3"/>
  <c r="Q306" i="3"/>
  <c r="T305" i="3"/>
  <c r="S305" i="3"/>
  <c r="R305" i="3"/>
  <c r="Q305" i="3"/>
  <c r="T304" i="3"/>
  <c r="S304" i="3"/>
  <c r="R304" i="3"/>
  <c r="Q304" i="3"/>
  <c r="T303" i="3"/>
  <c r="S303" i="3"/>
  <c r="R303" i="3"/>
  <c r="Q303" i="3"/>
  <c r="T302" i="3"/>
  <c r="S302" i="3"/>
  <c r="R302" i="3"/>
  <c r="Q302" i="3"/>
  <c r="T301" i="3"/>
  <c r="S301" i="3"/>
  <c r="R301" i="3"/>
  <c r="Q301" i="3"/>
  <c r="T300" i="3"/>
  <c r="S300" i="3"/>
  <c r="R300" i="3"/>
  <c r="Q300" i="3"/>
  <c r="T299" i="3"/>
  <c r="S299" i="3"/>
  <c r="R299" i="3"/>
  <c r="Q299" i="3"/>
  <c r="T298" i="3"/>
  <c r="S298" i="3"/>
  <c r="R298" i="3"/>
  <c r="Q298" i="3"/>
  <c r="T297" i="3"/>
  <c r="S297" i="3"/>
  <c r="R297" i="3"/>
  <c r="Q297" i="3"/>
  <c r="T296" i="3"/>
  <c r="S296" i="3"/>
  <c r="R296" i="3"/>
  <c r="Q296" i="3"/>
  <c r="T295" i="3"/>
  <c r="S295" i="3"/>
  <c r="R295" i="3"/>
  <c r="Q295" i="3"/>
  <c r="T294" i="3"/>
  <c r="S294" i="3"/>
  <c r="R294" i="3"/>
  <c r="Q294" i="3"/>
  <c r="T293" i="3"/>
  <c r="S293" i="3"/>
  <c r="R293" i="3"/>
  <c r="Q293" i="3"/>
  <c r="T292" i="3"/>
  <c r="S292" i="3"/>
  <c r="R292" i="3"/>
  <c r="Q292" i="3"/>
  <c r="T291" i="3"/>
  <c r="S291" i="3"/>
  <c r="R291" i="3"/>
  <c r="Q291" i="3"/>
  <c r="T290" i="3"/>
  <c r="S290" i="3"/>
  <c r="R290" i="3"/>
  <c r="Q290" i="3"/>
  <c r="T289" i="3"/>
  <c r="S289" i="3"/>
  <c r="R289" i="3"/>
  <c r="Q289" i="3"/>
  <c r="T288" i="3"/>
  <c r="S288" i="3"/>
  <c r="R288" i="3"/>
  <c r="Q288" i="3"/>
  <c r="T287" i="3"/>
  <c r="S287" i="3"/>
  <c r="R287" i="3"/>
  <c r="Q287" i="3"/>
  <c r="T286" i="3"/>
  <c r="S286" i="3"/>
  <c r="R286" i="3"/>
  <c r="Q286" i="3"/>
  <c r="T285" i="3"/>
  <c r="S285" i="3"/>
  <c r="R285" i="3"/>
  <c r="Q285" i="3"/>
  <c r="T284" i="3"/>
  <c r="S284" i="3"/>
  <c r="R284" i="3"/>
  <c r="Q284" i="3"/>
  <c r="T283" i="3"/>
  <c r="S283" i="3"/>
  <c r="R283" i="3"/>
  <c r="Q283" i="3"/>
  <c r="T282" i="3"/>
  <c r="S282" i="3"/>
  <c r="R282" i="3"/>
  <c r="Q282" i="3"/>
  <c r="T281" i="3"/>
  <c r="S281" i="3"/>
  <c r="R281" i="3"/>
  <c r="Q281" i="3"/>
  <c r="T280" i="3"/>
  <c r="S280" i="3"/>
  <c r="R280" i="3"/>
  <c r="Q280" i="3"/>
  <c r="T279" i="3"/>
  <c r="S279" i="3"/>
  <c r="R279" i="3"/>
  <c r="Q279" i="3"/>
  <c r="T278" i="3"/>
  <c r="S278" i="3"/>
  <c r="R278" i="3"/>
  <c r="Q278" i="3"/>
  <c r="T277" i="3"/>
  <c r="S277" i="3"/>
  <c r="R277" i="3"/>
  <c r="Q277" i="3"/>
  <c r="T276" i="3"/>
  <c r="S276" i="3"/>
  <c r="R276" i="3"/>
  <c r="Q276" i="3"/>
  <c r="T275" i="3"/>
  <c r="S275" i="3"/>
  <c r="R275" i="3"/>
  <c r="Q275" i="3"/>
  <c r="T274" i="3"/>
  <c r="S274" i="3"/>
  <c r="R274" i="3"/>
  <c r="V244" i="3" s="1"/>
  <c r="Q274" i="3"/>
  <c r="T273" i="3"/>
  <c r="S273" i="3"/>
  <c r="R273" i="3"/>
  <c r="Q273" i="3"/>
  <c r="T272" i="3"/>
  <c r="S272" i="3"/>
  <c r="R272" i="3"/>
  <c r="Q272" i="3"/>
  <c r="T271" i="3"/>
  <c r="S271" i="3"/>
  <c r="R271" i="3"/>
  <c r="Q271" i="3"/>
  <c r="T270" i="3"/>
  <c r="S270" i="3"/>
  <c r="R270" i="3"/>
  <c r="Q270" i="3"/>
  <c r="T269" i="3"/>
  <c r="S269" i="3"/>
  <c r="R269" i="3"/>
  <c r="Q269" i="3"/>
  <c r="T268" i="3"/>
  <c r="S268" i="3"/>
  <c r="R268" i="3"/>
  <c r="Q268" i="3"/>
  <c r="T267" i="3"/>
  <c r="S267" i="3"/>
  <c r="R267" i="3"/>
  <c r="Q267" i="3"/>
  <c r="T266" i="3"/>
  <c r="S266" i="3"/>
  <c r="R266" i="3"/>
  <c r="Q266" i="3"/>
  <c r="T265" i="3"/>
  <c r="S265" i="3"/>
  <c r="R265" i="3"/>
  <c r="Q265" i="3"/>
  <c r="T264" i="3"/>
  <c r="S264" i="3"/>
  <c r="R264" i="3"/>
  <c r="Q264" i="3"/>
  <c r="T263" i="3"/>
  <c r="S263" i="3"/>
  <c r="R263" i="3"/>
  <c r="Q263" i="3"/>
  <c r="T262" i="3"/>
  <c r="S262" i="3"/>
  <c r="R262" i="3"/>
  <c r="Q262" i="3"/>
  <c r="T261" i="3"/>
  <c r="S261" i="3"/>
  <c r="R261" i="3"/>
  <c r="Q261" i="3"/>
  <c r="T260" i="3"/>
  <c r="S260" i="3"/>
  <c r="R260" i="3"/>
  <c r="Q260" i="3"/>
  <c r="T259" i="3"/>
  <c r="S259" i="3"/>
  <c r="R259" i="3"/>
  <c r="Q259" i="3"/>
  <c r="T258" i="3"/>
  <c r="S258" i="3"/>
  <c r="R258" i="3"/>
  <c r="Q258" i="3"/>
  <c r="T257" i="3"/>
  <c r="S257" i="3"/>
  <c r="R257" i="3"/>
  <c r="Q257" i="3"/>
  <c r="T256" i="3"/>
  <c r="S256" i="3"/>
  <c r="R256" i="3"/>
  <c r="Q256" i="3"/>
  <c r="T255" i="3"/>
  <c r="S255" i="3"/>
  <c r="R255" i="3"/>
  <c r="Q255" i="3"/>
  <c r="T254" i="3"/>
  <c r="S254" i="3"/>
  <c r="R254" i="3"/>
  <c r="Q254" i="3"/>
  <c r="T253" i="3"/>
  <c r="S253" i="3"/>
  <c r="R253" i="3"/>
  <c r="Q253" i="3"/>
  <c r="T252" i="3"/>
  <c r="S252" i="3"/>
  <c r="R252" i="3"/>
  <c r="Q252" i="3"/>
  <c r="T251" i="3"/>
  <c r="S251" i="3"/>
  <c r="R251" i="3"/>
  <c r="Q251" i="3"/>
  <c r="T250" i="3"/>
  <c r="S250" i="3"/>
  <c r="R250" i="3"/>
  <c r="Q250" i="3"/>
  <c r="T249" i="3"/>
  <c r="S249" i="3"/>
  <c r="R249" i="3"/>
  <c r="Q249" i="3"/>
  <c r="T248" i="3"/>
  <c r="S248" i="3"/>
  <c r="R248" i="3"/>
  <c r="Q248" i="3"/>
  <c r="T247" i="3"/>
  <c r="S247" i="3"/>
  <c r="R247" i="3"/>
  <c r="Q247" i="3"/>
  <c r="T246" i="3"/>
  <c r="S246" i="3"/>
  <c r="R246" i="3"/>
  <c r="Q246" i="3"/>
  <c r="T245" i="3"/>
  <c r="S245" i="3"/>
  <c r="R245" i="3"/>
  <c r="Q245" i="3"/>
  <c r="T244" i="3"/>
  <c r="X244" i="3" s="1"/>
  <c r="S244" i="3"/>
  <c r="W244" i="3" s="1"/>
  <c r="R244" i="3"/>
  <c r="Q244" i="3"/>
  <c r="T238" i="3"/>
  <c r="S238" i="3"/>
  <c r="R238" i="3"/>
  <c r="Q238" i="3"/>
  <c r="T237" i="3"/>
  <c r="S237" i="3"/>
  <c r="R237" i="3"/>
  <c r="Q237" i="3"/>
  <c r="T236" i="3"/>
  <c r="S236" i="3"/>
  <c r="R236" i="3"/>
  <c r="Q236" i="3"/>
  <c r="T235" i="3"/>
  <c r="S235" i="3"/>
  <c r="R235" i="3"/>
  <c r="Q235" i="3"/>
  <c r="T234" i="3"/>
  <c r="S234" i="3"/>
  <c r="R234" i="3"/>
  <c r="Q234" i="3"/>
  <c r="T233" i="3"/>
  <c r="S233" i="3"/>
  <c r="R233" i="3"/>
  <c r="Q233" i="3"/>
  <c r="T232" i="3"/>
  <c r="S232" i="3"/>
  <c r="R232" i="3"/>
  <c r="Q232" i="3"/>
  <c r="T231" i="3"/>
  <c r="S231" i="3"/>
  <c r="R231" i="3"/>
  <c r="Q231" i="3"/>
  <c r="T230" i="3"/>
  <c r="S230" i="3"/>
  <c r="R230" i="3"/>
  <c r="Q230" i="3"/>
  <c r="T229" i="3"/>
  <c r="S229" i="3"/>
  <c r="R229" i="3"/>
  <c r="Q229" i="3"/>
  <c r="T228" i="3"/>
  <c r="S228" i="3"/>
  <c r="R228" i="3"/>
  <c r="Q228" i="3"/>
  <c r="T227" i="3"/>
  <c r="S227" i="3"/>
  <c r="R227" i="3"/>
  <c r="Q227" i="3"/>
  <c r="T226" i="3"/>
  <c r="S226" i="3"/>
  <c r="R226" i="3"/>
  <c r="Q226" i="3"/>
  <c r="T225" i="3"/>
  <c r="S225" i="3"/>
  <c r="R225" i="3"/>
  <c r="Q225" i="3"/>
  <c r="T224" i="3"/>
  <c r="S224" i="3"/>
  <c r="R224" i="3"/>
  <c r="Q224" i="3"/>
  <c r="T223" i="3"/>
  <c r="S223" i="3"/>
  <c r="R223" i="3"/>
  <c r="Q223" i="3"/>
  <c r="T222" i="3"/>
  <c r="S222" i="3"/>
  <c r="R222" i="3"/>
  <c r="Q222" i="3"/>
  <c r="T221" i="3"/>
  <c r="S221" i="3"/>
  <c r="R221" i="3"/>
  <c r="Q221" i="3"/>
  <c r="T220" i="3"/>
  <c r="S220" i="3"/>
  <c r="R220" i="3"/>
  <c r="Q220" i="3"/>
  <c r="T219" i="3"/>
  <c r="S219" i="3"/>
  <c r="R219" i="3"/>
  <c r="Q219" i="3"/>
  <c r="T218" i="3"/>
  <c r="S218" i="3"/>
  <c r="R218" i="3"/>
  <c r="Q218" i="3"/>
  <c r="T217" i="3"/>
  <c r="S217" i="3"/>
  <c r="R217" i="3"/>
  <c r="Q217" i="3"/>
  <c r="T216" i="3"/>
  <c r="S216" i="3"/>
  <c r="R216" i="3"/>
  <c r="Q216" i="3"/>
  <c r="T215" i="3"/>
  <c r="S215" i="3"/>
  <c r="R215" i="3"/>
  <c r="Q215" i="3"/>
  <c r="T214" i="3"/>
  <c r="S214" i="3"/>
  <c r="R214" i="3"/>
  <c r="Q214" i="3"/>
  <c r="T213" i="3"/>
  <c r="S213" i="3"/>
  <c r="R213" i="3"/>
  <c r="Q213" i="3"/>
  <c r="T212" i="3"/>
  <c r="S212" i="3"/>
  <c r="R212" i="3"/>
  <c r="Q212" i="3"/>
  <c r="T211" i="3"/>
  <c r="S211" i="3"/>
  <c r="R211" i="3"/>
  <c r="Q211" i="3"/>
  <c r="T210" i="3"/>
  <c r="S210" i="3"/>
  <c r="R210" i="3"/>
  <c r="Q210" i="3"/>
  <c r="T209" i="3"/>
  <c r="S209" i="3"/>
  <c r="R209" i="3"/>
  <c r="Q209" i="3"/>
  <c r="T208" i="3"/>
  <c r="S208" i="3"/>
  <c r="R208" i="3"/>
  <c r="Q208" i="3"/>
  <c r="T207" i="3"/>
  <c r="S207" i="3"/>
  <c r="R207" i="3"/>
  <c r="Q207" i="3"/>
  <c r="T206" i="3"/>
  <c r="S206" i="3"/>
  <c r="R206" i="3"/>
  <c r="Q206" i="3"/>
  <c r="T205" i="3"/>
  <c r="S205" i="3"/>
  <c r="R205" i="3"/>
  <c r="Q205" i="3"/>
  <c r="T204" i="3"/>
  <c r="S204" i="3"/>
  <c r="R204" i="3"/>
  <c r="Q204" i="3"/>
  <c r="T203" i="3"/>
  <c r="S203" i="3"/>
  <c r="R203" i="3"/>
  <c r="Q203" i="3"/>
  <c r="T202" i="3"/>
  <c r="S202" i="3"/>
  <c r="R202" i="3"/>
  <c r="Q202" i="3"/>
  <c r="T201" i="3"/>
  <c r="S201" i="3"/>
  <c r="R201" i="3"/>
  <c r="Q201" i="3"/>
  <c r="T200" i="3"/>
  <c r="S200" i="3"/>
  <c r="R200" i="3"/>
  <c r="Q200" i="3"/>
  <c r="T199" i="3"/>
  <c r="S199" i="3"/>
  <c r="R199" i="3"/>
  <c r="Q199" i="3"/>
  <c r="T198" i="3"/>
  <c r="S198" i="3"/>
  <c r="R198" i="3"/>
  <c r="Q198" i="3"/>
  <c r="T197" i="3"/>
  <c r="S197" i="3"/>
  <c r="R197" i="3"/>
  <c r="Q197" i="3"/>
  <c r="T196" i="3"/>
  <c r="S196" i="3"/>
  <c r="R196" i="3"/>
  <c r="Q196" i="3"/>
  <c r="T195" i="3"/>
  <c r="S195" i="3"/>
  <c r="R195" i="3"/>
  <c r="Q195" i="3"/>
  <c r="T194" i="3"/>
  <c r="S194" i="3"/>
  <c r="R194" i="3"/>
  <c r="Q194" i="3"/>
  <c r="T193" i="3"/>
  <c r="S193" i="3"/>
  <c r="R193" i="3"/>
  <c r="Q193" i="3"/>
  <c r="T192" i="3"/>
  <c r="S192" i="3"/>
  <c r="R192" i="3"/>
  <c r="Q192" i="3"/>
  <c r="T191" i="3"/>
  <c r="S191" i="3"/>
  <c r="R191" i="3"/>
  <c r="Q191" i="3"/>
  <c r="T190" i="3"/>
  <c r="S190" i="3"/>
  <c r="R190" i="3"/>
  <c r="Q190" i="3"/>
  <c r="T189" i="3"/>
  <c r="S189" i="3"/>
  <c r="R189" i="3"/>
  <c r="Q189" i="3"/>
  <c r="T188" i="3"/>
  <c r="S188" i="3"/>
  <c r="R188" i="3"/>
  <c r="V164" i="3" s="1"/>
  <c r="Q188" i="3"/>
  <c r="T187" i="3"/>
  <c r="S187" i="3"/>
  <c r="R187" i="3"/>
  <c r="Q187" i="3"/>
  <c r="T186" i="3"/>
  <c r="S186" i="3"/>
  <c r="R186" i="3"/>
  <c r="Q186" i="3"/>
  <c r="T185" i="3"/>
  <c r="S185" i="3"/>
  <c r="R185" i="3"/>
  <c r="Q185" i="3"/>
  <c r="T184" i="3"/>
  <c r="S184" i="3"/>
  <c r="R184" i="3"/>
  <c r="Q184" i="3"/>
  <c r="T183" i="3"/>
  <c r="S183" i="3"/>
  <c r="R183" i="3"/>
  <c r="Q183" i="3"/>
  <c r="T182" i="3"/>
  <c r="S182" i="3"/>
  <c r="R182" i="3"/>
  <c r="Q182" i="3"/>
  <c r="T181" i="3"/>
  <c r="S181" i="3"/>
  <c r="R181" i="3"/>
  <c r="Q181" i="3"/>
  <c r="T180" i="3"/>
  <c r="S180" i="3"/>
  <c r="R180" i="3"/>
  <c r="Q180" i="3"/>
  <c r="T179" i="3"/>
  <c r="S179" i="3"/>
  <c r="R179" i="3"/>
  <c r="Q179" i="3"/>
  <c r="T178" i="3"/>
  <c r="S178" i="3"/>
  <c r="R178" i="3"/>
  <c r="Q178" i="3"/>
  <c r="T177" i="3"/>
  <c r="S177" i="3"/>
  <c r="R177" i="3"/>
  <c r="Q177" i="3"/>
  <c r="T176" i="3"/>
  <c r="S176" i="3"/>
  <c r="R176" i="3"/>
  <c r="Q176" i="3"/>
  <c r="T175" i="3"/>
  <c r="S175" i="3"/>
  <c r="R175" i="3"/>
  <c r="Q175" i="3"/>
  <c r="T174" i="3"/>
  <c r="S174" i="3"/>
  <c r="R174" i="3"/>
  <c r="Q174" i="3"/>
  <c r="T173" i="3"/>
  <c r="S173" i="3"/>
  <c r="R173" i="3"/>
  <c r="Q173" i="3"/>
  <c r="T172" i="3"/>
  <c r="S172" i="3"/>
  <c r="R172" i="3"/>
  <c r="Q172" i="3"/>
  <c r="T171" i="3"/>
  <c r="S171" i="3"/>
  <c r="R171" i="3"/>
  <c r="Q171" i="3"/>
  <c r="T170" i="3"/>
  <c r="S170" i="3"/>
  <c r="R170" i="3"/>
  <c r="Q170" i="3"/>
  <c r="T169" i="3"/>
  <c r="S169" i="3"/>
  <c r="R169" i="3"/>
  <c r="Q169" i="3"/>
  <c r="T168" i="3"/>
  <c r="S168" i="3"/>
  <c r="R168" i="3"/>
  <c r="Q168" i="3"/>
  <c r="T167" i="3"/>
  <c r="S167" i="3"/>
  <c r="R167" i="3"/>
  <c r="Q167" i="3"/>
  <c r="T166" i="3"/>
  <c r="S166" i="3"/>
  <c r="R166" i="3"/>
  <c r="Q166" i="3"/>
  <c r="T165" i="3"/>
  <c r="S165" i="3"/>
  <c r="R165" i="3"/>
  <c r="Q165" i="3"/>
  <c r="T164" i="3"/>
  <c r="X164" i="3" s="1"/>
  <c r="S164" i="3"/>
  <c r="W164" i="3" s="1"/>
  <c r="R164" i="3"/>
  <c r="Q164" i="3"/>
  <c r="T158" i="3"/>
  <c r="S158" i="3"/>
  <c r="R158" i="3"/>
  <c r="Q158" i="3"/>
  <c r="T157" i="3"/>
  <c r="S157" i="3"/>
  <c r="R157" i="3"/>
  <c r="Q157" i="3"/>
  <c r="T156" i="3"/>
  <c r="S156" i="3"/>
  <c r="R156" i="3"/>
  <c r="Q156" i="3"/>
  <c r="T155" i="3"/>
  <c r="S155" i="3"/>
  <c r="R155" i="3"/>
  <c r="Q155" i="3"/>
  <c r="T154" i="3"/>
  <c r="S154" i="3"/>
  <c r="R154" i="3"/>
  <c r="Q154" i="3"/>
  <c r="T153" i="3"/>
  <c r="S153" i="3"/>
  <c r="R153" i="3"/>
  <c r="Q153" i="3"/>
  <c r="T152" i="3"/>
  <c r="S152" i="3"/>
  <c r="R152" i="3"/>
  <c r="Q152" i="3"/>
  <c r="T151" i="3"/>
  <c r="S151" i="3"/>
  <c r="R151" i="3"/>
  <c r="Q151" i="3"/>
  <c r="T150" i="3"/>
  <c r="S150" i="3"/>
  <c r="R150" i="3"/>
  <c r="Q150" i="3"/>
  <c r="T149" i="3"/>
  <c r="S149" i="3"/>
  <c r="R149" i="3"/>
  <c r="Q149" i="3"/>
  <c r="T148" i="3"/>
  <c r="S148" i="3"/>
  <c r="R148" i="3"/>
  <c r="Q148" i="3"/>
  <c r="T147" i="3"/>
  <c r="S147" i="3"/>
  <c r="R147" i="3"/>
  <c r="Q147" i="3"/>
  <c r="T146" i="3"/>
  <c r="S146" i="3"/>
  <c r="R146" i="3"/>
  <c r="Q146" i="3"/>
  <c r="T145" i="3"/>
  <c r="S145" i="3"/>
  <c r="R145" i="3"/>
  <c r="Q145" i="3"/>
  <c r="T144" i="3"/>
  <c r="S144" i="3"/>
  <c r="R144" i="3"/>
  <c r="Q144" i="3"/>
  <c r="T143" i="3"/>
  <c r="S143" i="3"/>
  <c r="R143" i="3"/>
  <c r="Q143" i="3"/>
  <c r="T142" i="3"/>
  <c r="S142" i="3"/>
  <c r="R142" i="3"/>
  <c r="Q142" i="3"/>
  <c r="T141" i="3"/>
  <c r="S141" i="3"/>
  <c r="R141" i="3"/>
  <c r="Q141" i="3"/>
  <c r="T140" i="3"/>
  <c r="S140" i="3"/>
  <c r="R140" i="3"/>
  <c r="Q140" i="3"/>
  <c r="T139" i="3"/>
  <c r="S139" i="3"/>
  <c r="R139" i="3"/>
  <c r="Q139" i="3"/>
  <c r="T138" i="3"/>
  <c r="S138" i="3"/>
  <c r="R138" i="3"/>
  <c r="Q138" i="3"/>
  <c r="T137" i="3"/>
  <c r="S137" i="3"/>
  <c r="R137" i="3"/>
  <c r="Q137" i="3"/>
  <c r="T136" i="3"/>
  <c r="S136" i="3"/>
  <c r="R136" i="3"/>
  <c r="Q136" i="3"/>
  <c r="T135" i="3"/>
  <c r="S135" i="3"/>
  <c r="R135" i="3"/>
  <c r="Q135" i="3"/>
  <c r="T134" i="3"/>
  <c r="S134" i="3"/>
  <c r="R134" i="3"/>
  <c r="Q134" i="3"/>
  <c r="T133" i="3"/>
  <c r="S133" i="3"/>
  <c r="R133" i="3"/>
  <c r="Q133" i="3"/>
  <c r="T132" i="3"/>
  <c r="S132" i="3"/>
  <c r="R132" i="3"/>
  <c r="Q132" i="3"/>
  <c r="T131" i="3"/>
  <c r="S131" i="3"/>
  <c r="R131" i="3"/>
  <c r="Q131" i="3"/>
  <c r="T130" i="3"/>
  <c r="S130" i="3"/>
  <c r="R130" i="3"/>
  <c r="Q130" i="3"/>
  <c r="T129" i="3"/>
  <c r="S129" i="3"/>
  <c r="R129" i="3"/>
  <c r="Q129" i="3"/>
  <c r="T128" i="3"/>
  <c r="S128" i="3"/>
  <c r="R128" i="3"/>
  <c r="Q128" i="3"/>
  <c r="T127" i="3"/>
  <c r="S127" i="3"/>
  <c r="R127" i="3"/>
  <c r="Q127" i="3"/>
  <c r="T126" i="3"/>
  <c r="S126" i="3"/>
  <c r="R126" i="3"/>
  <c r="Q126" i="3"/>
  <c r="T125" i="3"/>
  <c r="S125" i="3"/>
  <c r="R125" i="3"/>
  <c r="Q125" i="3"/>
  <c r="T124" i="3"/>
  <c r="S124" i="3"/>
  <c r="R124" i="3"/>
  <c r="Q124" i="3"/>
  <c r="T123" i="3"/>
  <c r="S123" i="3"/>
  <c r="R123" i="3"/>
  <c r="Q123" i="3"/>
  <c r="T122" i="3"/>
  <c r="S122" i="3"/>
  <c r="R122" i="3"/>
  <c r="Q122" i="3"/>
  <c r="T121" i="3"/>
  <c r="S121" i="3"/>
  <c r="R121" i="3"/>
  <c r="Q121" i="3"/>
  <c r="T120" i="3"/>
  <c r="S120" i="3"/>
  <c r="R120" i="3"/>
  <c r="Q120" i="3"/>
  <c r="T119" i="3"/>
  <c r="S119" i="3"/>
  <c r="R119" i="3"/>
  <c r="Q119" i="3"/>
  <c r="T118" i="3"/>
  <c r="S118" i="3"/>
  <c r="R118" i="3"/>
  <c r="Q118" i="3"/>
  <c r="T117" i="3"/>
  <c r="S117" i="3"/>
  <c r="R117" i="3"/>
  <c r="Q117" i="3"/>
  <c r="T116" i="3"/>
  <c r="S116" i="3"/>
  <c r="R116" i="3"/>
  <c r="Q116" i="3"/>
  <c r="T115" i="3"/>
  <c r="S115" i="3"/>
  <c r="R115" i="3"/>
  <c r="Q115" i="3"/>
  <c r="T114" i="3"/>
  <c r="S114" i="3"/>
  <c r="R114" i="3"/>
  <c r="Q114" i="3"/>
  <c r="T113" i="3"/>
  <c r="S113" i="3"/>
  <c r="R113" i="3"/>
  <c r="Q113" i="3"/>
  <c r="T112" i="3"/>
  <c r="S112" i="3"/>
  <c r="R112" i="3"/>
  <c r="Q112" i="3"/>
  <c r="T111" i="3"/>
  <c r="S111" i="3"/>
  <c r="R111" i="3"/>
  <c r="Q111" i="3"/>
  <c r="T110" i="3"/>
  <c r="S110" i="3"/>
  <c r="R110" i="3"/>
  <c r="Q110" i="3"/>
  <c r="T109" i="3"/>
  <c r="S109" i="3"/>
  <c r="R109" i="3"/>
  <c r="Q109" i="3"/>
  <c r="T108" i="3"/>
  <c r="S108" i="3"/>
  <c r="R108" i="3"/>
  <c r="Q108" i="3"/>
  <c r="T107" i="3"/>
  <c r="S107" i="3"/>
  <c r="R107" i="3"/>
  <c r="Q107" i="3"/>
  <c r="T106" i="3"/>
  <c r="S106" i="3"/>
  <c r="R106" i="3"/>
  <c r="Q106" i="3"/>
  <c r="T105" i="3"/>
  <c r="S105" i="3"/>
  <c r="R105" i="3"/>
  <c r="Q105" i="3"/>
  <c r="T104" i="3"/>
  <c r="S104" i="3"/>
  <c r="R104" i="3"/>
  <c r="Q104" i="3"/>
  <c r="T103" i="3"/>
  <c r="S103" i="3"/>
  <c r="R103" i="3"/>
  <c r="Q103" i="3"/>
  <c r="T102" i="3"/>
  <c r="S102" i="3"/>
  <c r="R102" i="3"/>
  <c r="Q102" i="3"/>
  <c r="T101" i="3"/>
  <c r="S101" i="3"/>
  <c r="R101" i="3"/>
  <c r="Q101" i="3"/>
  <c r="T100" i="3"/>
  <c r="S100" i="3"/>
  <c r="R100" i="3"/>
  <c r="Q100" i="3"/>
  <c r="T99" i="3"/>
  <c r="S99" i="3"/>
  <c r="R99" i="3"/>
  <c r="V84" i="3" s="1"/>
  <c r="Q99" i="3"/>
  <c r="T98" i="3"/>
  <c r="S98" i="3"/>
  <c r="R98" i="3"/>
  <c r="Q98" i="3"/>
  <c r="T97" i="3"/>
  <c r="S97" i="3"/>
  <c r="R97" i="3"/>
  <c r="Q97" i="3"/>
  <c r="T96" i="3"/>
  <c r="S96" i="3"/>
  <c r="R96" i="3"/>
  <c r="Q96" i="3"/>
  <c r="T95" i="3"/>
  <c r="S95" i="3"/>
  <c r="R95" i="3"/>
  <c r="Q95" i="3"/>
  <c r="T94" i="3"/>
  <c r="S94" i="3"/>
  <c r="R94" i="3"/>
  <c r="Q94" i="3"/>
  <c r="T93" i="3"/>
  <c r="S93" i="3"/>
  <c r="R93" i="3"/>
  <c r="Q93" i="3"/>
  <c r="T92" i="3"/>
  <c r="S92" i="3"/>
  <c r="R92" i="3"/>
  <c r="Q92" i="3"/>
  <c r="T91" i="3"/>
  <c r="S91" i="3"/>
  <c r="R91" i="3"/>
  <c r="Q91" i="3"/>
  <c r="T90" i="3"/>
  <c r="S90" i="3"/>
  <c r="R90" i="3"/>
  <c r="Q90" i="3"/>
  <c r="T89" i="3"/>
  <c r="S89" i="3"/>
  <c r="R89" i="3"/>
  <c r="Q89" i="3"/>
  <c r="T88" i="3"/>
  <c r="S88" i="3"/>
  <c r="R88" i="3"/>
  <c r="Q88" i="3"/>
  <c r="T87" i="3"/>
  <c r="S87" i="3"/>
  <c r="R87" i="3"/>
  <c r="Q87" i="3"/>
  <c r="T86" i="3"/>
  <c r="S86" i="3"/>
  <c r="R86" i="3"/>
  <c r="Q86" i="3"/>
  <c r="T85" i="3"/>
  <c r="S85" i="3"/>
  <c r="R85" i="3"/>
  <c r="Q85" i="3"/>
  <c r="T84" i="3"/>
  <c r="X84" i="3" s="1"/>
  <c r="S84" i="3"/>
  <c r="W84" i="3" s="1"/>
  <c r="R84" i="3"/>
  <c r="Q84" i="3"/>
  <c r="T78" i="3"/>
  <c r="S78" i="3"/>
  <c r="R78" i="3"/>
  <c r="Q78" i="3"/>
  <c r="T77" i="3"/>
  <c r="S77" i="3"/>
  <c r="R77" i="3"/>
  <c r="Q77" i="3"/>
  <c r="T76" i="3"/>
  <c r="S76" i="3"/>
  <c r="R76" i="3"/>
  <c r="Q76" i="3"/>
  <c r="T75" i="3"/>
  <c r="S75" i="3"/>
  <c r="R75" i="3"/>
  <c r="Q75" i="3"/>
  <c r="T74" i="3"/>
  <c r="S74" i="3"/>
  <c r="R74" i="3"/>
  <c r="Q74" i="3"/>
  <c r="T73" i="3"/>
  <c r="S73" i="3"/>
  <c r="R73" i="3"/>
  <c r="Q73" i="3"/>
  <c r="T72" i="3"/>
  <c r="S72" i="3"/>
  <c r="R72" i="3"/>
  <c r="Q72" i="3"/>
  <c r="T71" i="3"/>
  <c r="S71" i="3"/>
  <c r="R71" i="3"/>
  <c r="Q71" i="3"/>
  <c r="T70" i="3"/>
  <c r="S70" i="3"/>
  <c r="R70" i="3"/>
  <c r="Q70" i="3"/>
  <c r="T69" i="3"/>
  <c r="S69" i="3"/>
  <c r="R69" i="3"/>
  <c r="Q69" i="3"/>
  <c r="T68" i="3"/>
  <c r="S68" i="3"/>
  <c r="R68" i="3"/>
  <c r="Q68" i="3"/>
  <c r="T67" i="3"/>
  <c r="S67" i="3"/>
  <c r="R67" i="3"/>
  <c r="Q67" i="3"/>
  <c r="T66" i="3"/>
  <c r="S66" i="3"/>
  <c r="R66" i="3"/>
  <c r="Q66" i="3"/>
  <c r="T65" i="3"/>
  <c r="S65" i="3"/>
  <c r="R65" i="3"/>
  <c r="Q65" i="3"/>
  <c r="T64" i="3"/>
  <c r="S64" i="3"/>
  <c r="R64" i="3"/>
  <c r="Q64" i="3"/>
  <c r="T63" i="3"/>
  <c r="S63" i="3"/>
  <c r="R63" i="3"/>
  <c r="Q63" i="3"/>
  <c r="T62" i="3"/>
  <c r="S62" i="3"/>
  <c r="R62" i="3"/>
  <c r="Q62" i="3"/>
  <c r="T61" i="3"/>
  <c r="S61" i="3"/>
  <c r="R61" i="3"/>
  <c r="Q61" i="3"/>
  <c r="T60" i="3"/>
  <c r="S60" i="3"/>
  <c r="R60" i="3"/>
  <c r="Q60" i="3"/>
  <c r="T59" i="3"/>
  <c r="S59" i="3"/>
  <c r="R59" i="3"/>
  <c r="Q59" i="3"/>
  <c r="T58" i="3"/>
  <c r="S58" i="3"/>
  <c r="R58" i="3"/>
  <c r="Q58" i="3"/>
  <c r="T57" i="3"/>
  <c r="S57" i="3"/>
  <c r="R57" i="3"/>
  <c r="Q57" i="3"/>
  <c r="T56" i="3"/>
  <c r="S56" i="3"/>
  <c r="R56" i="3"/>
  <c r="Q56" i="3"/>
  <c r="T55" i="3"/>
  <c r="S55" i="3"/>
  <c r="R55" i="3"/>
  <c r="Q55" i="3"/>
  <c r="T54" i="3"/>
  <c r="S54" i="3"/>
  <c r="R54" i="3"/>
  <c r="Q54" i="3"/>
  <c r="T53" i="3"/>
  <c r="S53" i="3"/>
  <c r="R53" i="3"/>
  <c r="Q53" i="3"/>
  <c r="T52" i="3"/>
  <c r="S52" i="3"/>
  <c r="R52" i="3"/>
  <c r="Q52" i="3"/>
  <c r="T51" i="3"/>
  <c r="S51" i="3"/>
  <c r="R51" i="3"/>
  <c r="Q51" i="3"/>
  <c r="T50" i="3"/>
  <c r="S50" i="3"/>
  <c r="R50" i="3"/>
  <c r="Q50" i="3"/>
  <c r="T49" i="3"/>
  <c r="S49" i="3"/>
  <c r="R49" i="3"/>
  <c r="Q49" i="3"/>
  <c r="T48" i="3"/>
  <c r="S48" i="3"/>
  <c r="R48" i="3"/>
  <c r="Q48" i="3"/>
  <c r="T47" i="3"/>
  <c r="S47" i="3"/>
  <c r="R47" i="3"/>
  <c r="Q47" i="3"/>
  <c r="T46" i="3"/>
  <c r="S46" i="3"/>
  <c r="R46" i="3"/>
  <c r="Q46" i="3"/>
  <c r="T45" i="3"/>
  <c r="S45" i="3"/>
  <c r="R45" i="3"/>
  <c r="Q45" i="3"/>
  <c r="T44" i="3"/>
  <c r="S44" i="3"/>
  <c r="R44" i="3"/>
  <c r="Q44" i="3"/>
  <c r="T43" i="3"/>
  <c r="S43" i="3"/>
  <c r="R43" i="3"/>
  <c r="Q43" i="3"/>
  <c r="T42" i="3"/>
  <c r="S42" i="3"/>
  <c r="R42" i="3"/>
  <c r="Q42" i="3"/>
  <c r="T41" i="3"/>
  <c r="S41" i="3"/>
  <c r="R41" i="3"/>
  <c r="Q41" i="3"/>
  <c r="T40" i="3"/>
  <c r="S40" i="3"/>
  <c r="R40" i="3"/>
  <c r="Q40" i="3"/>
  <c r="T39" i="3"/>
  <c r="S39" i="3"/>
  <c r="R39" i="3"/>
  <c r="Q39" i="3"/>
  <c r="T38" i="3"/>
  <c r="S38" i="3"/>
  <c r="R38" i="3"/>
  <c r="Q38" i="3"/>
  <c r="T37" i="3"/>
  <c r="S37" i="3"/>
  <c r="R37" i="3"/>
  <c r="Q37" i="3"/>
  <c r="T36" i="3"/>
  <c r="S36" i="3"/>
  <c r="R36" i="3"/>
  <c r="Q36" i="3"/>
  <c r="T35" i="3"/>
  <c r="S35" i="3"/>
  <c r="R35" i="3"/>
  <c r="Q35" i="3"/>
  <c r="T34" i="3"/>
  <c r="S34" i="3"/>
  <c r="R34" i="3"/>
  <c r="Q34" i="3"/>
  <c r="T33" i="3"/>
  <c r="S33" i="3"/>
  <c r="R33" i="3"/>
  <c r="Q33" i="3"/>
  <c r="T32" i="3"/>
  <c r="S32" i="3"/>
  <c r="R32" i="3"/>
  <c r="Q32" i="3"/>
  <c r="T31" i="3"/>
  <c r="S31" i="3"/>
  <c r="R31" i="3"/>
  <c r="Q31" i="3"/>
  <c r="T30" i="3"/>
  <c r="S30" i="3"/>
  <c r="R30" i="3"/>
  <c r="Q30" i="3"/>
  <c r="T29" i="3"/>
  <c r="S29" i="3"/>
  <c r="R29" i="3"/>
  <c r="Q29" i="3"/>
  <c r="T28" i="3"/>
  <c r="S28" i="3"/>
  <c r="R28" i="3"/>
  <c r="Q28" i="3"/>
  <c r="T27" i="3"/>
  <c r="S27" i="3"/>
  <c r="R27" i="3"/>
  <c r="Q27" i="3"/>
  <c r="T26" i="3"/>
  <c r="S26" i="3"/>
  <c r="R26" i="3"/>
  <c r="Q26" i="3"/>
  <c r="T25" i="3"/>
  <c r="S25" i="3"/>
  <c r="R25" i="3"/>
  <c r="Q25" i="3"/>
  <c r="T24" i="3"/>
  <c r="S24" i="3"/>
  <c r="R24" i="3"/>
  <c r="Q24" i="3"/>
  <c r="T23" i="3"/>
  <c r="S23" i="3"/>
  <c r="R23" i="3"/>
  <c r="Q23" i="3"/>
  <c r="T22" i="3"/>
  <c r="S22" i="3"/>
  <c r="R22" i="3"/>
  <c r="Q22" i="3"/>
  <c r="T21" i="3"/>
  <c r="S21" i="3"/>
  <c r="R21" i="3"/>
  <c r="Q21" i="3"/>
  <c r="T20" i="3"/>
  <c r="S20" i="3"/>
  <c r="R20" i="3"/>
  <c r="Q20" i="3"/>
  <c r="T19" i="3"/>
  <c r="S19" i="3"/>
  <c r="R19" i="3"/>
  <c r="Q19" i="3"/>
  <c r="T18" i="3"/>
  <c r="S18" i="3"/>
  <c r="R18" i="3"/>
  <c r="Q18" i="3"/>
  <c r="T17" i="3"/>
  <c r="S17" i="3"/>
  <c r="R17" i="3"/>
  <c r="Q17" i="3"/>
  <c r="T16" i="3"/>
  <c r="S16" i="3"/>
  <c r="R16" i="3"/>
  <c r="Q16" i="3"/>
  <c r="T15" i="3"/>
  <c r="S15" i="3"/>
  <c r="R15" i="3"/>
  <c r="Q15" i="3"/>
  <c r="T14" i="3"/>
  <c r="S14" i="3"/>
  <c r="R14" i="3"/>
  <c r="Q14" i="3"/>
  <c r="T13" i="3"/>
  <c r="S13" i="3"/>
  <c r="R13" i="3"/>
  <c r="Q13" i="3"/>
  <c r="T12" i="3"/>
  <c r="S12" i="3"/>
  <c r="R12" i="3"/>
  <c r="Q12" i="3"/>
  <c r="T11" i="3"/>
  <c r="S11" i="3"/>
  <c r="R11" i="3"/>
  <c r="V4" i="3" s="1"/>
  <c r="Q11" i="3"/>
  <c r="T10" i="3"/>
  <c r="S10" i="3"/>
  <c r="R10" i="3"/>
  <c r="Q10" i="3"/>
  <c r="T9" i="3"/>
  <c r="S9" i="3"/>
  <c r="R9" i="3"/>
  <c r="Q9" i="3"/>
  <c r="T8" i="3"/>
  <c r="S8" i="3"/>
  <c r="R8" i="3"/>
  <c r="Q8" i="3"/>
  <c r="T7" i="3"/>
  <c r="S7" i="3"/>
  <c r="R7" i="3"/>
  <c r="Q7" i="3"/>
  <c r="T6" i="3"/>
  <c r="S6" i="3"/>
  <c r="R6" i="3"/>
  <c r="Q6" i="3"/>
  <c r="T5" i="3"/>
  <c r="S5" i="3"/>
  <c r="R5" i="3"/>
  <c r="Q5" i="3"/>
  <c r="T4" i="3"/>
  <c r="X4" i="3" s="1"/>
  <c r="S4" i="3"/>
  <c r="Q4" i="3"/>
  <c r="R4" i="3"/>
  <c r="R244" i="2"/>
  <c r="S244" i="2"/>
  <c r="Q244" i="2"/>
  <c r="N244" i="2"/>
  <c r="P318" i="2"/>
  <c r="O318" i="2"/>
  <c r="N318" i="2"/>
  <c r="P317" i="2"/>
  <c r="O317" i="2"/>
  <c r="N317" i="2"/>
  <c r="P316" i="2"/>
  <c r="O316" i="2"/>
  <c r="N316" i="2"/>
  <c r="P315" i="2"/>
  <c r="O315" i="2"/>
  <c r="N315" i="2"/>
  <c r="P314" i="2"/>
  <c r="O314" i="2"/>
  <c r="N314" i="2"/>
  <c r="P313" i="2"/>
  <c r="O313" i="2"/>
  <c r="N313" i="2"/>
  <c r="P312" i="2"/>
  <c r="O312" i="2"/>
  <c r="N312" i="2"/>
  <c r="P311" i="2"/>
  <c r="O311" i="2"/>
  <c r="N311" i="2"/>
  <c r="P310" i="2"/>
  <c r="O310" i="2"/>
  <c r="N310" i="2"/>
  <c r="P309" i="2"/>
  <c r="O309" i="2"/>
  <c r="N309" i="2"/>
  <c r="P308" i="2"/>
  <c r="O308" i="2"/>
  <c r="N308" i="2"/>
  <c r="P307" i="2"/>
  <c r="O307" i="2"/>
  <c r="N307" i="2"/>
  <c r="P306" i="2"/>
  <c r="O306" i="2"/>
  <c r="N306" i="2"/>
  <c r="P305" i="2"/>
  <c r="O305" i="2"/>
  <c r="N305" i="2"/>
  <c r="P304" i="2"/>
  <c r="O304" i="2"/>
  <c r="N304" i="2"/>
  <c r="P303" i="2"/>
  <c r="O303" i="2"/>
  <c r="N303" i="2"/>
  <c r="P302" i="2"/>
  <c r="O302" i="2"/>
  <c r="N302" i="2"/>
  <c r="P301" i="2"/>
  <c r="O301" i="2"/>
  <c r="N301" i="2"/>
  <c r="P300" i="2"/>
  <c r="O300" i="2"/>
  <c r="N300" i="2"/>
  <c r="P299" i="2"/>
  <c r="O299" i="2"/>
  <c r="N299" i="2"/>
  <c r="P298" i="2"/>
  <c r="O298" i="2"/>
  <c r="N298" i="2"/>
  <c r="P297" i="2"/>
  <c r="O297" i="2"/>
  <c r="N297" i="2"/>
  <c r="P296" i="2"/>
  <c r="O296" i="2"/>
  <c r="N296" i="2"/>
  <c r="P295" i="2"/>
  <c r="O295" i="2"/>
  <c r="N295" i="2"/>
  <c r="P294" i="2"/>
  <c r="O294" i="2"/>
  <c r="N294" i="2"/>
  <c r="P293" i="2"/>
  <c r="O293" i="2"/>
  <c r="N293" i="2"/>
  <c r="P292" i="2"/>
  <c r="O292" i="2"/>
  <c r="N292" i="2"/>
  <c r="P291" i="2"/>
  <c r="O291" i="2"/>
  <c r="N291" i="2"/>
  <c r="P290" i="2"/>
  <c r="O290" i="2"/>
  <c r="N290" i="2"/>
  <c r="P289" i="2"/>
  <c r="O289" i="2"/>
  <c r="N289" i="2"/>
  <c r="P288" i="2"/>
  <c r="O288" i="2"/>
  <c r="N288" i="2"/>
  <c r="P287" i="2"/>
  <c r="O287" i="2"/>
  <c r="N287" i="2"/>
  <c r="P286" i="2"/>
  <c r="O286" i="2"/>
  <c r="N286" i="2"/>
  <c r="P285" i="2"/>
  <c r="O285" i="2"/>
  <c r="N285" i="2"/>
  <c r="P284" i="2"/>
  <c r="O284" i="2"/>
  <c r="N284" i="2"/>
  <c r="P283" i="2"/>
  <c r="O283" i="2"/>
  <c r="N283" i="2"/>
  <c r="P282" i="2"/>
  <c r="O282" i="2"/>
  <c r="N282" i="2"/>
  <c r="P281" i="2"/>
  <c r="O281" i="2"/>
  <c r="N281" i="2"/>
  <c r="P280" i="2"/>
  <c r="O280" i="2"/>
  <c r="N280" i="2"/>
  <c r="P279" i="2"/>
  <c r="O279" i="2"/>
  <c r="N279" i="2"/>
  <c r="P278" i="2"/>
  <c r="O278" i="2"/>
  <c r="N278" i="2"/>
  <c r="P277" i="2"/>
  <c r="O277" i="2"/>
  <c r="N277" i="2"/>
  <c r="P276" i="2"/>
  <c r="O276" i="2"/>
  <c r="N276" i="2"/>
  <c r="P275" i="2"/>
  <c r="O275" i="2"/>
  <c r="N275" i="2"/>
  <c r="P274" i="2"/>
  <c r="O274" i="2"/>
  <c r="N274" i="2"/>
  <c r="P273" i="2"/>
  <c r="O273" i="2"/>
  <c r="N273" i="2"/>
  <c r="P272" i="2"/>
  <c r="O272" i="2"/>
  <c r="N272" i="2"/>
  <c r="P271" i="2"/>
  <c r="O271" i="2"/>
  <c r="N271" i="2"/>
  <c r="P270" i="2"/>
  <c r="O270" i="2"/>
  <c r="N270" i="2"/>
  <c r="P269" i="2"/>
  <c r="O269" i="2"/>
  <c r="N269" i="2"/>
  <c r="P268" i="2"/>
  <c r="O268" i="2"/>
  <c r="N268" i="2"/>
  <c r="P267" i="2"/>
  <c r="O267" i="2"/>
  <c r="N267" i="2"/>
  <c r="P266" i="2"/>
  <c r="O266" i="2"/>
  <c r="N266" i="2"/>
  <c r="P265" i="2"/>
  <c r="O265" i="2"/>
  <c r="N265" i="2"/>
  <c r="P264" i="2"/>
  <c r="O264" i="2"/>
  <c r="N264" i="2"/>
  <c r="P263" i="2"/>
  <c r="O263" i="2"/>
  <c r="N263" i="2"/>
  <c r="P262" i="2"/>
  <c r="O262" i="2"/>
  <c r="N262" i="2"/>
  <c r="P261" i="2"/>
  <c r="O261" i="2"/>
  <c r="N261" i="2"/>
  <c r="P260" i="2"/>
  <c r="O260" i="2"/>
  <c r="N260" i="2"/>
  <c r="P259" i="2"/>
  <c r="O259" i="2"/>
  <c r="N259" i="2"/>
  <c r="P258" i="2"/>
  <c r="O258" i="2"/>
  <c r="N258" i="2"/>
  <c r="P257" i="2"/>
  <c r="O257" i="2"/>
  <c r="N257" i="2"/>
  <c r="P256" i="2"/>
  <c r="O256" i="2"/>
  <c r="N256" i="2"/>
  <c r="P255" i="2"/>
  <c r="O255" i="2"/>
  <c r="N255" i="2"/>
  <c r="P254" i="2"/>
  <c r="O254" i="2"/>
  <c r="N254" i="2"/>
  <c r="P253" i="2"/>
  <c r="O253" i="2"/>
  <c r="N253" i="2"/>
  <c r="P252" i="2"/>
  <c r="O252" i="2"/>
  <c r="N252" i="2"/>
  <c r="P251" i="2"/>
  <c r="O251" i="2"/>
  <c r="N251" i="2"/>
  <c r="P250" i="2"/>
  <c r="O250" i="2"/>
  <c r="N250" i="2"/>
  <c r="P249" i="2"/>
  <c r="O249" i="2"/>
  <c r="N249" i="2"/>
  <c r="P248" i="2"/>
  <c r="O248" i="2"/>
  <c r="N248" i="2"/>
  <c r="P247" i="2"/>
  <c r="O247" i="2"/>
  <c r="N247" i="2"/>
  <c r="P246" i="2"/>
  <c r="O246" i="2"/>
  <c r="N246" i="2"/>
  <c r="P245" i="2"/>
  <c r="O245" i="2"/>
  <c r="N245" i="2"/>
  <c r="P244" i="2"/>
  <c r="O244" i="2"/>
  <c r="P238" i="2"/>
  <c r="O238" i="2"/>
  <c r="N238" i="2"/>
  <c r="P237" i="2"/>
  <c r="O237" i="2"/>
  <c r="N237" i="2"/>
  <c r="P236" i="2"/>
  <c r="O236" i="2"/>
  <c r="N236" i="2"/>
  <c r="P235" i="2"/>
  <c r="O235" i="2"/>
  <c r="N235" i="2"/>
  <c r="P234" i="2"/>
  <c r="O234" i="2"/>
  <c r="N234" i="2"/>
  <c r="P233" i="2"/>
  <c r="O233" i="2"/>
  <c r="N233" i="2"/>
  <c r="P232" i="2"/>
  <c r="O232" i="2"/>
  <c r="N232" i="2"/>
  <c r="P231" i="2"/>
  <c r="O231" i="2"/>
  <c r="N231" i="2"/>
  <c r="P230" i="2"/>
  <c r="O230" i="2"/>
  <c r="N230" i="2"/>
  <c r="P229" i="2"/>
  <c r="O229" i="2"/>
  <c r="N229" i="2"/>
  <c r="P228" i="2"/>
  <c r="O228" i="2"/>
  <c r="N228" i="2"/>
  <c r="P227" i="2"/>
  <c r="O227" i="2"/>
  <c r="N227" i="2"/>
  <c r="P226" i="2"/>
  <c r="O226" i="2"/>
  <c r="N226" i="2"/>
  <c r="P225" i="2"/>
  <c r="O225" i="2"/>
  <c r="N225" i="2"/>
  <c r="P224" i="2"/>
  <c r="O224" i="2"/>
  <c r="N224" i="2"/>
  <c r="P223" i="2"/>
  <c r="O223" i="2"/>
  <c r="N223" i="2"/>
  <c r="P222" i="2"/>
  <c r="O222" i="2"/>
  <c r="N222" i="2"/>
  <c r="P221" i="2"/>
  <c r="O221" i="2"/>
  <c r="N221" i="2"/>
  <c r="P220" i="2"/>
  <c r="O220" i="2"/>
  <c r="N220" i="2"/>
  <c r="P219" i="2"/>
  <c r="O219" i="2"/>
  <c r="N219" i="2"/>
  <c r="P218" i="2"/>
  <c r="O218" i="2"/>
  <c r="N218" i="2"/>
  <c r="P217" i="2"/>
  <c r="O217" i="2"/>
  <c r="N217" i="2"/>
  <c r="P216" i="2"/>
  <c r="O216" i="2"/>
  <c r="N216" i="2"/>
  <c r="P215" i="2"/>
  <c r="O215" i="2"/>
  <c r="N215" i="2"/>
  <c r="P214" i="2"/>
  <c r="O214" i="2"/>
  <c r="N214" i="2"/>
  <c r="P213" i="2"/>
  <c r="O213" i="2"/>
  <c r="N213" i="2"/>
  <c r="P212" i="2"/>
  <c r="O212" i="2"/>
  <c r="N212" i="2"/>
  <c r="P211" i="2"/>
  <c r="O211" i="2"/>
  <c r="N211" i="2"/>
  <c r="P210" i="2"/>
  <c r="O210" i="2"/>
  <c r="N210" i="2"/>
  <c r="P209" i="2"/>
  <c r="O209" i="2"/>
  <c r="N209" i="2"/>
  <c r="P208" i="2"/>
  <c r="O208" i="2"/>
  <c r="N208" i="2"/>
  <c r="P207" i="2"/>
  <c r="O207" i="2"/>
  <c r="N207" i="2"/>
  <c r="P206" i="2"/>
  <c r="O206" i="2"/>
  <c r="N206" i="2"/>
  <c r="P205" i="2"/>
  <c r="O205" i="2"/>
  <c r="N205" i="2"/>
  <c r="P204" i="2"/>
  <c r="O204" i="2"/>
  <c r="N204" i="2"/>
  <c r="P203" i="2"/>
  <c r="O203" i="2"/>
  <c r="N203" i="2"/>
  <c r="P202" i="2"/>
  <c r="O202" i="2"/>
  <c r="N202" i="2"/>
  <c r="P201" i="2"/>
  <c r="O201" i="2"/>
  <c r="N201" i="2"/>
  <c r="P200" i="2"/>
  <c r="O200" i="2"/>
  <c r="N200" i="2"/>
  <c r="P199" i="2"/>
  <c r="O199" i="2"/>
  <c r="N199" i="2"/>
  <c r="P198" i="2"/>
  <c r="O198" i="2"/>
  <c r="N198" i="2"/>
  <c r="P197" i="2"/>
  <c r="O197" i="2"/>
  <c r="N197" i="2"/>
  <c r="P196" i="2"/>
  <c r="O196" i="2"/>
  <c r="N196" i="2"/>
  <c r="P195" i="2"/>
  <c r="O195" i="2"/>
  <c r="N195" i="2"/>
  <c r="P194" i="2"/>
  <c r="O194" i="2"/>
  <c r="N194" i="2"/>
  <c r="P193" i="2"/>
  <c r="O193" i="2"/>
  <c r="N193" i="2"/>
  <c r="P192" i="2"/>
  <c r="O192" i="2"/>
  <c r="N192" i="2"/>
  <c r="P191" i="2"/>
  <c r="O191" i="2"/>
  <c r="N191" i="2"/>
  <c r="P190" i="2"/>
  <c r="O190" i="2"/>
  <c r="N190" i="2"/>
  <c r="P189" i="2"/>
  <c r="O189" i="2"/>
  <c r="N189" i="2"/>
  <c r="P188" i="2"/>
  <c r="O188" i="2"/>
  <c r="N188" i="2"/>
  <c r="P187" i="2"/>
  <c r="O187" i="2"/>
  <c r="N187" i="2"/>
  <c r="P186" i="2"/>
  <c r="O186" i="2"/>
  <c r="N186" i="2"/>
  <c r="P185" i="2"/>
  <c r="O185" i="2"/>
  <c r="N185" i="2"/>
  <c r="P184" i="2"/>
  <c r="O184" i="2"/>
  <c r="N184" i="2"/>
  <c r="P183" i="2"/>
  <c r="O183" i="2"/>
  <c r="N183" i="2"/>
  <c r="P182" i="2"/>
  <c r="O182" i="2"/>
  <c r="N182" i="2"/>
  <c r="P181" i="2"/>
  <c r="O181" i="2"/>
  <c r="N181" i="2"/>
  <c r="P180" i="2"/>
  <c r="O180" i="2"/>
  <c r="N180" i="2"/>
  <c r="P179" i="2"/>
  <c r="O179" i="2"/>
  <c r="N179" i="2"/>
  <c r="P178" i="2"/>
  <c r="O178" i="2"/>
  <c r="N178" i="2"/>
  <c r="P177" i="2"/>
  <c r="O177" i="2"/>
  <c r="N177" i="2"/>
  <c r="P176" i="2"/>
  <c r="O176" i="2"/>
  <c r="N176" i="2"/>
  <c r="P175" i="2"/>
  <c r="O175" i="2"/>
  <c r="N175" i="2"/>
  <c r="P174" i="2"/>
  <c r="O174" i="2"/>
  <c r="N174" i="2"/>
  <c r="P173" i="2"/>
  <c r="O173" i="2"/>
  <c r="N173" i="2"/>
  <c r="P172" i="2"/>
  <c r="O172" i="2"/>
  <c r="N172" i="2"/>
  <c r="P171" i="2"/>
  <c r="O171" i="2"/>
  <c r="N171" i="2"/>
  <c r="P170" i="2"/>
  <c r="O170" i="2"/>
  <c r="N170" i="2"/>
  <c r="P169" i="2"/>
  <c r="O169" i="2"/>
  <c r="N169" i="2"/>
  <c r="P168" i="2"/>
  <c r="O168" i="2"/>
  <c r="N168" i="2"/>
  <c r="P167" i="2"/>
  <c r="O167" i="2"/>
  <c r="N167" i="2"/>
  <c r="P166" i="2"/>
  <c r="O166" i="2"/>
  <c r="N166" i="2"/>
  <c r="P165" i="2"/>
  <c r="O165" i="2"/>
  <c r="N165" i="2"/>
  <c r="R164" i="2"/>
  <c r="P164" i="2"/>
  <c r="O164" i="2"/>
  <c r="N164" i="2"/>
  <c r="P78" i="2"/>
  <c r="O78" i="2"/>
  <c r="N78" i="2"/>
  <c r="P77" i="2"/>
  <c r="O77" i="2"/>
  <c r="N77" i="2"/>
  <c r="P76" i="2"/>
  <c r="O76" i="2"/>
  <c r="N76" i="2"/>
  <c r="P75" i="2"/>
  <c r="O75" i="2"/>
  <c r="N75" i="2"/>
  <c r="P74" i="2"/>
  <c r="O74" i="2"/>
  <c r="N74" i="2"/>
  <c r="P73" i="2"/>
  <c r="O73" i="2"/>
  <c r="N73" i="2"/>
  <c r="P72" i="2"/>
  <c r="O72" i="2"/>
  <c r="N72" i="2"/>
  <c r="P71" i="2"/>
  <c r="O71" i="2"/>
  <c r="N71" i="2"/>
  <c r="P70" i="2"/>
  <c r="O70" i="2"/>
  <c r="N70" i="2"/>
  <c r="P69" i="2"/>
  <c r="O69" i="2"/>
  <c r="N69" i="2"/>
  <c r="P68" i="2"/>
  <c r="O68" i="2"/>
  <c r="N68" i="2"/>
  <c r="P67" i="2"/>
  <c r="O67" i="2"/>
  <c r="N67" i="2"/>
  <c r="P66" i="2"/>
  <c r="O66" i="2"/>
  <c r="N66" i="2"/>
  <c r="P65" i="2"/>
  <c r="O65" i="2"/>
  <c r="N65" i="2"/>
  <c r="P64" i="2"/>
  <c r="O64" i="2"/>
  <c r="N64" i="2"/>
  <c r="P63" i="2"/>
  <c r="O63" i="2"/>
  <c r="N63" i="2"/>
  <c r="P62" i="2"/>
  <c r="O62" i="2"/>
  <c r="N62" i="2"/>
  <c r="P61" i="2"/>
  <c r="O61" i="2"/>
  <c r="N61" i="2"/>
  <c r="P60" i="2"/>
  <c r="O60" i="2"/>
  <c r="N60" i="2"/>
  <c r="P59" i="2"/>
  <c r="O59" i="2"/>
  <c r="N59" i="2"/>
  <c r="P58" i="2"/>
  <c r="O58" i="2"/>
  <c r="N58" i="2"/>
  <c r="P57" i="2"/>
  <c r="O57" i="2"/>
  <c r="N57" i="2"/>
  <c r="P56" i="2"/>
  <c r="O56" i="2"/>
  <c r="N56" i="2"/>
  <c r="P55" i="2"/>
  <c r="O55" i="2"/>
  <c r="N55" i="2"/>
  <c r="P54" i="2"/>
  <c r="O54" i="2"/>
  <c r="N54" i="2"/>
  <c r="P53" i="2"/>
  <c r="O53" i="2"/>
  <c r="N53" i="2"/>
  <c r="P52" i="2"/>
  <c r="O52" i="2"/>
  <c r="N52" i="2"/>
  <c r="P51" i="2"/>
  <c r="O51" i="2"/>
  <c r="N51" i="2"/>
  <c r="P50" i="2"/>
  <c r="O50" i="2"/>
  <c r="N50" i="2"/>
  <c r="P49" i="2"/>
  <c r="O49" i="2"/>
  <c r="N49" i="2"/>
  <c r="P48" i="2"/>
  <c r="O48" i="2"/>
  <c r="N48" i="2"/>
  <c r="P47" i="2"/>
  <c r="O47" i="2"/>
  <c r="N47" i="2"/>
  <c r="P46" i="2"/>
  <c r="O46" i="2"/>
  <c r="N46" i="2"/>
  <c r="P45" i="2"/>
  <c r="O45" i="2"/>
  <c r="N45" i="2"/>
  <c r="P44" i="2"/>
  <c r="O44" i="2"/>
  <c r="N44" i="2"/>
  <c r="P43" i="2"/>
  <c r="O43" i="2"/>
  <c r="N43" i="2"/>
  <c r="P42" i="2"/>
  <c r="O42" i="2"/>
  <c r="N42" i="2"/>
  <c r="P41" i="2"/>
  <c r="O41" i="2"/>
  <c r="N41" i="2"/>
  <c r="P40" i="2"/>
  <c r="O40" i="2"/>
  <c r="N40" i="2"/>
  <c r="P39" i="2"/>
  <c r="O39" i="2"/>
  <c r="N39" i="2"/>
  <c r="P38" i="2"/>
  <c r="O38" i="2"/>
  <c r="N38" i="2"/>
  <c r="P37" i="2"/>
  <c r="O37" i="2"/>
  <c r="N37" i="2"/>
  <c r="P36" i="2"/>
  <c r="O36" i="2"/>
  <c r="N36" i="2"/>
  <c r="P35" i="2"/>
  <c r="O35" i="2"/>
  <c r="N35" i="2"/>
  <c r="P34" i="2"/>
  <c r="O34" i="2"/>
  <c r="N34" i="2"/>
  <c r="P33" i="2"/>
  <c r="O33" i="2"/>
  <c r="N33" i="2"/>
  <c r="P32" i="2"/>
  <c r="O32" i="2"/>
  <c r="N32" i="2"/>
  <c r="P31" i="2"/>
  <c r="O31" i="2"/>
  <c r="N31" i="2"/>
  <c r="P30" i="2"/>
  <c r="O30" i="2"/>
  <c r="N30" i="2"/>
  <c r="P29" i="2"/>
  <c r="O29" i="2"/>
  <c r="N29" i="2"/>
  <c r="P28" i="2"/>
  <c r="O28" i="2"/>
  <c r="N28" i="2"/>
  <c r="P27" i="2"/>
  <c r="O27" i="2"/>
  <c r="N27" i="2"/>
  <c r="P26" i="2"/>
  <c r="O26" i="2"/>
  <c r="N26" i="2"/>
  <c r="P25" i="2"/>
  <c r="O25" i="2"/>
  <c r="N25" i="2"/>
  <c r="P24" i="2"/>
  <c r="O24" i="2"/>
  <c r="N24" i="2"/>
  <c r="P23" i="2"/>
  <c r="O23" i="2"/>
  <c r="N23" i="2"/>
  <c r="P22" i="2"/>
  <c r="O22" i="2"/>
  <c r="N22" i="2"/>
  <c r="P21" i="2"/>
  <c r="O21" i="2"/>
  <c r="N21" i="2"/>
  <c r="P20" i="2"/>
  <c r="O20" i="2"/>
  <c r="N20" i="2"/>
  <c r="P19" i="2"/>
  <c r="O19" i="2"/>
  <c r="N19" i="2"/>
  <c r="P18" i="2"/>
  <c r="O18" i="2"/>
  <c r="N18" i="2"/>
  <c r="P17" i="2"/>
  <c r="O17" i="2"/>
  <c r="N17" i="2"/>
  <c r="P16" i="2"/>
  <c r="O16" i="2"/>
  <c r="N16" i="2"/>
  <c r="P15" i="2"/>
  <c r="O15" i="2"/>
  <c r="N15" i="2"/>
  <c r="P14" i="2"/>
  <c r="O14" i="2"/>
  <c r="N14" i="2"/>
  <c r="P13" i="2"/>
  <c r="O13" i="2"/>
  <c r="N13" i="2"/>
  <c r="P12" i="2"/>
  <c r="O12" i="2"/>
  <c r="N12" i="2"/>
  <c r="P11" i="2"/>
  <c r="O11" i="2"/>
  <c r="N11" i="2"/>
  <c r="P10" i="2"/>
  <c r="O10" i="2"/>
  <c r="N10" i="2"/>
  <c r="P9" i="2"/>
  <c r="O9" i="2"/>
  <c r="N9" i="2"/>
  <c r="P8" i="2"/>
  <c r="O8" i="2"/>
  <c r="N8" i="2"/>
  <c r="P7" i="2"/>
  <c r="O7" i="2"/>
  <c r="N7" i="2"/>
  <c r="P6" i="2"/>
  <c r="O6" i="2"/>
  <c r="N6" i="2"/>
  <c r="P5" i="2"/>
  <c r="O5" i="2"/>
  <c r="N5" i="2"/>
  <c r="P4" i="2"/>
  <c r="O4" i="2"/>
  <c r="N4" i="2"/>
  <c r="P158" i="2"/>
  <c r="O158" i="2"/>
  <c r="N158" i="2"/>
  <c r="P157" i="2"/>
  <c r="O157" i="2"/>
  <c r="N157" i="2"/>
  <c r="P156" i="2"/>
  <c r="O156" i="2"/>
  <c r="N156" i="2"/>
  <c r="P155" i="2"/>
  <c r="O155" i="2"/>
  <c r="N155" i="2"/>
  <c r="P154" i="2"/>
  <c r="O154" i="2"/>
  <c r="N154" i="2"/>
  <c r="P153" i="2"/>
  <c r="O153" i="2"/>
  <c r="N153" i="2"/>
  <c r="P152" i="2"/>
  <c r="O152" i="2"/>
  <c r="N152" i="2"/>
  <c r="P151" i="2"/>
  <c r="O151" i="2"/>
  <c r="N151" i="2"/>
  <c r="P150" i="2"/>
  <c r="O150" i="2"/>
  <c r="N150" i="2"/>
  <c r="P149" i="2"/>
  <c r="O149" i="2"/>
  <c r="N149" i="2"/>
  <c r="P148" i="2"/>
  <c r="O148" i="2"/>
  <c r="N148" i="2"/>
  <c r="P147" i="2"/>
  <c r="O147" i="2"/>
  <c r="N147" i="2"/>
  <c r="P146" i="2"/>
  <c r="O146" i="2"/>
  <c r="N146" i="2"/>
  <c r="P145" i="2"/>
  <c r="O145" i="2"/>
  <c r="N145" i="2"/>
  <c r="P144" i="2"/>
  <c r="O144" i="2"/>
  <c r="N144" i="2"/>
  <c r="P143" i="2"/>
  <c r="O143" i="2"/>
  <c r="N143" i="2"/>
  <c r="P142" i="2"/>
  <c r="O142" i="2"/>
  <c r="N142" i="2"/>
  <c r="P141" i="2"/>
  <c r="O141" i="2"/>
  <c r="N141" i="2"/>
  <c r="P140" i="2"/>
  <c r="O140" i="2"/>
  <c r="N140" i="2"/>
  <c r="P139" i="2"/>
  <c r="O139" i="2"/>
  <c r="N139" i="2"/>
  <c r="P138" i="2"/>
  <c r="O138" i="2"/>
  <c r="N138" i="2"/>
  <c r="P137" i="2"/>
  <c r="O137" i="2"/>
  <c r="N137" i="2"/>
  <c r="P136" i="2"/>
  <c r="O136" i="2"/>
  <c r="N136" i="2"/>
  <c r="P135" i="2"/>
  <c r="O135" i="2"/>
  <c r="N135" i="2"/>
  <c r="P134" i="2"/>
  <c r="O134" i="2"/>
  <c r="N134" i="2"/>
  <c r="P133" i="2"/>
  <c r="O133" i="2"/>
  <c r="N133" i="2"/>
  <c r="P132" i="2"/>
  <c r="O132" i="2"/>
  <c r="N132" i="2"/>
  <c r="P131" i="2"/>
  <c r="O131" i="2"/>
  <c r="N131" i="2"/>
  <c r="P130" i="2"/>
  <c r="O130" i="2"/>
  <c r="N130" i="2"/>
  <c r="P129" i="2"/>
  <c r="O129" i="2"/>
  <c r="N129" i="2"/>
  <c r="P128" i="2"/>
  <c r="O128" i="2"/>
  <c r="N128" i="2"/>
  <c r="P127" i="2"/>
  <c r="O127" i="2"/>
  <c r="N127" i="2"/>
  <c r="P126" i="2"/>
  <c r="O126" i="2"/>
  <c r="N126" i="2"/>
  <c r="P125" i="2"/>
  <c r="O125" i="2"/>
  <c r="N125" i="2"/>
  <c r="P124" i="2"/>
  <c r="O124" i="2"/>
  <c r="N124" i="2"/>
  <c r="P123" i="2"/>
  <c r="O123" i="2"/>
  <c r="N123" i="2"/>
  <c r="P122" i="2"/>
  <c r="O122" i="2"/>
  <c r="N122" i="2"/>
  <c r="P121" i="2"/>
  <c r="O121" i="2"/>
  <c r="N121" i="2"/>
  <c r="P120" i="2"/>
  <c r="O120" i="2"/>
  <c r="N120" i="2"/>
  <c r="P119" i="2"/>
  <c r="O119" i="2"/>
  <c r="N119" i="2"/>
  <c r="P118" i="2"/>
  <c r="O118" i="2"/>
  <c r="N118" i="2"/>
  <c r="P117" i="2"/>
  <c r="O117" i="2"/>
  <c r="N117" i="2"/>
  <c r="P116" i="2"/>
  <c r="O116" i="2"/>
  <c r="N116" i="2"/>
  <c r="P115" i="2"/>
  <c r="O115" i="2"/>
  <c r="N115" i="2"/>
  <c r="P114" i="2"/>
  <c r="O114" i="2"/>
  <c r="N114" i="2"/>
  <c r="P113" i="2"/>
  <c r="O113" i="2"/>
  <c r="N113" i="2"/>
  <c r="P112" i="2"/>
  <c r="O112" i="2"/>
  <c r="N112" i="2"/>
  <c r="P111" i="2"/>
  <c r="O111" i="2"/>
  <c r="N111" i="2"/>
  <c r="P110" i="2"/>
  <c r="O110" i="2"/>
  <c r="N110" i="2"/>
  <c r="P109" i="2"/>
  <c r="O109" i="2"/>
  <c r="N109" i="2"/>
  <c r="P108" i="2"/>
  <c r="O108" i="2"/>
  <c r="N108" i="2"/>
  <c r="P107" i="2"/>
  <c r="O107" i="2"/>
  <c r="N107" i="2"/>
  <c r="P106" i="2"/>
  <c r="O106" i="2"/>
  <c r="N106" i="2"/>
  <c r="P105" i="2"/>
  <c r="O105" i="2"/>
  <c r="N105" i="2"/>
  <c r="P104" i="2"/>
  <c r="O104" i="2"/>
  <c r="N104" i="2"/>
  <c r="P103" i="2"/>
  <c r="O103" i="2"/>
  <c r="N103" i="2"/>
  <c r="P102" i="2"/>
  <c r="O102" i="2"/>
  <c r="N102" i="2"/>
  <c r="P101" i="2"/>
  <c r="O101" i="2"/>
  <c r="N101" i="2"/>
  <c r="P100" i="2"/>
  <c r="O100" i="2"/>
  <c r="N100" i="2"/>
  <c r="P99" i="2"/>
  <c r="O99" i="2"/>
  <c r="N99" i="2"/>
  <c r="P98" i="2"/>
  <c r="O98" i="2"/>
  <c r="N98" i="2"/>
  <c r="P97" i="2"/>
  <c r="O97" i="2"/>
  <c r="N97" i="2"/>
  <c r="P96" i="2"/>
  <c r="O96" i="2"/>
  <c r="N96" i="2"/>
  <c r="P95" i="2"/>
  <c r="O95" i="2"/>
  <c r="N95" i="2"/>
  <c r="P94" i="2"/>
  <c r="O94" i="2"/>
  <c r="N94" i="2"/>
  <c r="P93" i="2"/>
  <c r="O93" i="2"/>
  <c r="N93" i="2"/>
  <c r="P92" i="2"/>
  <c r="O92" i="2"/>
  <c r="N92" i="2"/>
  <c r="P91" i="2"/>
  <c r="O91" i="2"/>
  <c r="N91" i="2"/>
  <c r="P90" i="2"/>
  <c r="O90" i="2"/>
  <c r="N90" i="2"/>
  <c r="P89" i="2"/>
  <c r="O89" i="2"/>
  <c r="N89" i="2"/>
  <c r="P88" i="2"/>
  <c r="O88" i="2"/>
  <c r="N88" i="2"/>
  <c r="P87" i="2"/>
  <c r="O87" i="2"/>
  <c r="N87" i="2"/>
  <c r="P86" i="2"/>
  <c r="O86" i="2"/>
  <c r="N86" i="2"/>
  <c r="P85" i="2"/>
  <c r="O85" i="2"/>
  <c r="N85" i="2"/>
  <c r="P84" i="2"/>
  <c r="O84" i="2"/>
  <c r="N84" i="2"/>
  <c r="Q164" i="2" l="1"/>
  <c r="S164" i="2"/>
  <c r="Q84" i="2"/>
  <c r="Q4" i="2"/>
  <c r="R4" i="2"/>
  <c r="S4" i="2"/>
  <c r="R84" i="2"/>
  <c r="S84" i="2"/>
</calcChain>
</file>

<file path=xl/sharedStrings.xml><?xml version="1.0" encoding="utf-8"?>
<sst xmlns="http://schemas.openxmlformats.org/spreadsheetml/2006/main" count="2611" uniqueCount="425">
  <si>
    <t>Randomized</t>
  </si>
  <si>
    <t>No decomposition</t>
  </si>
  <si>
    <t>seed 1</t>
  </si>
  <si>
    <t>seed 3</t>
  </si>
  <si>
    <t>seed 5</t>
  </si>
  <si>
    <t>average</t>
  </si>
  <si>
    <t>OCSVM</t>
  </si>
  <si>
    <t>AE</t>
  </si>
  <si>
    <t>IF</t>
  </si>
  <si>
    <t>n=500</t>
  </si>
  <si>
    <t>ocsvm_pca_seed1</t>
  </si>
  <si>
    <t>ocsvm_pca_seed2</t>
  </si>
  <si>
    <t>ocsvm_pca_seed3</t>
  </si>
  <si>
    <t>ocsvm_pca_seed5</t>
  </si>
  <si>
    <t>ocsvm_pca_seed8</t>
  </si>
  <si>
    <t>ocsvm_pca_seed13</t>
  </si>
  <si>
    <t>ocsvm_pca_seed21</t>
  </si>
  <si>
    <t>ocsvm_pca_avg</t>
  </si>
  <si>
    <t>ocsvm_cp_seed1</t>
  </si>
  <si>
    <t>ocsvm_cp_seed2</t>
  </si>
  <si>
    <t>ocsvm_cp_seed3</t>
  </si>
  <si>
    <t>ocsvm_cp_seed5</t>
  </si>
  <si>
    <t>ocsvm_cp_seed8</t>
  </si>
  <si>
    <t>ocsvm_cp_seed13</t>
  </si>
  <si>
    <t>ocsvm_cp_seed21</t>
  </si>
  <si>
    <t>ocsvm_cp_avg</t>
  </si>
  <si>
    <t>ocsvm_tucker_seed1</t>
  </si>
  <si>
    <t>ocsvm_tucker_seed2</t>
  </si>
  <si>
    <t>ocsvm_tucker_seed3</t>
  </si>
  <si>
    <t>ocsvm_tucker_seed5</t>
  </si>
  <si>
    <t>ocsvm_tucker_seed8</t>
  </si>
  <si>
    <t>ocsvm_tucker_seed13</t>
  </si>
  <si>
    <t>ocsvm_tucker_seed21</t>
  </si>
  <si>
    <t>ocsvm_tucker_avg</t>
  </si>
  <si>
    <t>n=1000</t>
  </si>
  <si>
    <t>n=1500</t>
  </si>
  <si>
    <t>n=3000</t>
  </si>
  <si>
    <t>Average AUCs  for randomized sampling</t>
  </si>
  <si>
    <t>500_pca_avg</t>
  </si>
  <si>
    <t>1000_pca_avg</t>
  </si>
  <si>
    <t>1500_pca_avg</t>
  </si>
  <si>
    <t>3000_pca_avg</t>
  </si>
  <si>
    <t>500_cp_avg</t>
  </si>
  <si>
    <t>1000_cp_avg</t>
  </si>
  <si>
    <t>1500_cp_avg</t>
  </si>
  <si>
    <t>3000_cp_avg</t>
  </si>
  <si>
    <t>500_tucker_avg</t>
  </si>
  <si>
    <t>1000_tucker_avg</t>
  </si>
  <si>
    <t>1500_tucker_avg</t>
  </si>
  <si>
    <t>3000_tucker_avg</t>
  </si>
  <si>
    <t>Bedrock</t>
  </si>
  <si>
    <t>Averages  for bedrock</t>
  </si>
  <si>
    <t>Broken-rock</t>
  </si>
  <si>
    <t>Averages  for broken rock</t>
  </si>
  <si>
    <t>Drill-hole</t>
  </si>
  <si>
    <t>Averages  for drill-hole</t>
  </si>
  <si>
    <t>drt</t>
  </si>
  <si>
    <t>Averages  for drt</t>
  </si>
  <si>
    <t>dump-pile</t>
  </si>
  <si>
    <t>Averages  for dump-pile</t>
  </si>
  <si>
    <t>float</t>
  </si>
  <si>
    <t>Averages  for float</t>
  </si>
  <si>
    <t>meteorite</t>
  </si>
  <si>
    <t>Averages  for meteorite</t>
  </si>
  <si>
    <t>scuff</t>
  </si>
  <si>
    <t>Averages  for scuff</t>
  </si>
  <si>
    <t>veins</t>
  </si>
  <si>
    <t>Averages for veins</t>
  </si>
  <si>
    <t>Lenovo</t>
  </si>
  <si>
    <t>bedrock</t>
  </si>
  <si>
    <t>drill-hole 3000</t>
  </si>
  <si>
    <t>dump-pile 3000</t>
  </si>
  <si>
    <t>meteorite 3000</t>
  </si>
  <si>
    <t>scuff 3000</t>
  </si>
  <si>
    <t>Dell</t>
  </si>
  <si>
    <t>broken-rock 3000</t>
  </si>
  <si>
    <t>drt 3000</t>
  </si>
  <si>
    <t>float 3000</t>
  </si>
  <si>
    <t>veins 3000</t>
  </si>
  <si>
    <t>Test-1</t>
  </si>
  <si>
    <t>broken-rock</t>
  </si>
  <si>
    <t>Test-2b</t>
  </si>
  <si>
    <t>drill-hole</t>
  </si>
  <si>
    <t>Averages</t>
  </si>
  <si>
    <t>Min Average</t>
  </si>
  <si>
    <t>Rank</t>
  </si>
  <si>
    <t>FP seed 1</t>
  </si>
  <si>
    <t>p95 seed 1</t>
  </si>
  <si>
    <t>FP seed 3</t>
  </si>
  <si>
    <t>p95 seed 3</t>
  </si>
  <si>
    <t>FP seed 5</t>
  </si>
  <si>
    <t>p95 seed 5</t>
  </si>
  <si>
    <t>Obj seed 1</t>
  </si>
  <si>
    <t>Obj seed 3</t>
  </si>
  <si>
    <t>Obj seed 5</t>
  </si>
  <si>
    <t>RSS Memory</t>
  </si>
  <si>
    <t>CPU Time</t>
  </si>
  <si>
    <t>OCSVM FP n=500</t>
  </si>
  <si>
    <t>OCSVM P95 n=500</t>
  </si>
  <si>
    <t>AE n=500</t>
  </si>
  <si>
    <t>IF n=500</t>
  </si>
  <si>
    <t>OCSVM fp</t>
  </si>
  <si>
    <t>OCSVM p95</t>
  </si>
  <si>
    <t>rank=135</t>
  </si>
  <si>
    <t>rank=105</t>
  </si>
  <si>
    <t>rank=65</t>
  </si>
  <si>
    <t>OCSVM FP n=1000</t>
  </si>
  <si>
    <t>OCSVM P95 n=1000</t>
  </si>
  <si>
    <t>AE n=1000</t>
  </si>
  <si>
    <t>IF n=1000</t>
  </si>
  <si>
    <t>rank=190</t>
  </si>
  <si>
    <t>rank=215</t>
  </si>
  <si>
    <t>rank=200</t>
  </si>
  <si>
    <t>OCSVM FP n=1500</t>
  </si>
  <si>
    <t>OCSVM P95 n=1500</t>
  </si>
  <si>
    <t>AE n=1500</t>
  </si>
  <si>
    <t>IF n=1500</t>
  </si>
  <si>
    <t>rank=380</t>
  </si>
  <si>
    <t>rank=375</t>
  </si>
  <si>
    <t>rank=300</t>
  </si>
  <si>
    <t>OCSVM FP n=3000</t>
  </si>
  <si>
    <t>OCSVM P95 n=3000</t>
  </si>
  <si>
    <t>AE n=3000</t>
  </si>
  <si>
    <t>IF n=3000</t>
  </si>
  <si>
    <t>rank=370</t>
  </si>
  <si>
    <t>rank=365</t>
  </si>
  <si>
    <t>OCSVM n=500</t>
  </si>
  <si>
    <t>rank=25</t>
  </si>
  <si>
    <t>rank=60</t>
  </si>
  <si>
    <t>OCSVM n=1000</t>
  </si>
  <si>
    <t>rank=15</t>
  </si>
  <si>
    <t>rank=10</t>
  </si>
  <si>
    <t>OCSVM n=1500</t>
  </si>
  <si>
    <t>rank=115</t>
  </si>
  <si>
    <t>OCSVM n=3000</t>
  </si>
  <si>
    <t>5x5x5</t>
  </si>
  <si>
    <t>5x5x16</t>
  </si>
  <si>
    <t>rank=5x5x5</t>
  </si>
  <si>
    <t>16x32x16</t>
  </si>
  <si>
    <t>5x16x5</t>
  </si>
  <si>
    <t>5x16x16</t>
  </si>
  <si>
    <t>5x32x5</t>
  </si>
  <si>
    <t>5x32x16</t>
  </si>
  <si>
    <t>5x64x5</t>
  </si>
  <si>
    <t>5x64x16</t>
  </si>
  <si>
    <t>16x5x5</t>
  </si>
  <si>
    <t>16x5x16</t>
  </si>
  <si>
    <t>16x16x5</t>
  </si>
  <si>
    <t>16x16x16</t>
  </si>
  <si>
    <t>16x32x5</t>
  </si>
  <si>
    <t>16x64x5</t>
  </si>
  <si>
    <t>16x64x16</t>
  </si>
  <si>
    <t>32x5x5</t>
  </si>
  <si>
    <t>32x5x16</t>
  </si>
  <si>
    <t>32x16x5</t>
  </si>
  <si>
    <t>32x16x16</t>
  </si>
  <si>
    <t>32x32x5</t>
  </si>
  <si>
    <t>32x32x16</t>
  </si>
  <si>
    <t>32x64x5</t>
  </si>
  <si>
    <t>32x64x16</t>
  </si>
  <si>
    <t>64x5x5</t>
  </si>
  <si>
    <t>64x5x16</t>
  </si>
  <si>
    <t>64x16x5</t>
  </si>
  <si>
    <t>64x16x16</t>
  </si>
  <si>
    <t>64x32x5</t>
  </si>
  <si>
    <t>64x32x16</t>
  </si>
  <si>
    <t>64x64x5</t>
  </si>
  <si>
    <t>64x64x16</t>
  </si>
  <si>
    <t>rank=5x32x5</t>
  </si>
  <si>
    <t>Model</t>
  </si>
  <si>
    <t>Comparison</t>
  </si>
  <si>
    <t>CP − PCA</t>
  </si>
  <si>
    <t>−0.0002</t>
  </si>
  <si>
    <t>CP − NoDecomp</t>
  </si>
  <si>
    <t>Tucker − PCA</t>
  </si>
  <si>
    <t>Tucker − NoDecomp</t>
  </si>
  <si>
    <t>−0.0138</t>
  </si>
  <si>
    <t>−0.0329</t>
  </si>
  <si>
    <t>−0.0044</t>
  </si>
  <si>
    <t>−0.0086</t>
  </si>
  <si>
    <t>−0.0144</t>
  </si>
  <si>
    <t>−0.0506</t>
  </si>
  <si>
    <t>−0.1352</t>
  </si>
  <si>
    <t>−0.0269</t>
  </si>
  <si>
    <t>−0.1144</t>
  </si>
  <si>
    <t>−0.201</t>
  </si>
  <si>
    <t>−0.300</t>
  </si>
  <si>
    <t>−0.004</t>
  </si>
  <si>
    <t>−0.076</t>
  </si>
  <si>
    <t>−0.261</t>
  </si>
  <si>
    <t>−0.257</t>
  </si>
  <si>
    <t>−0.306</t>
  </si>
  <si>
    <t>−0.022</t>
  </si>
  <si>
    <t>−0.033</t>
  </si>
  <si>
    <t>−0.175</t>
  </si>
  <si>
    <t>−0.011</t>
  </si>
  <si>
    <t>−0.037</t>
  </si>
  <si>
    <t>−0.220</t>
  </si>
  <si>
    <t>−0.265</t>
  </si>
  <si>
    <t>−0.324</t>
  </si>
  <si>
    <t>−0.117</t>
  </si>
  <si>
    <t>−0.127</t>
  </si>
  <si>
    <t>−0.068</t>
  </si>
  <si>
    <t>−0.071</t>
  </si>
  <si>
    <t>−0.174</t>
  </si>
  <si>
    <t>−0.026</t>
  </si>
  <si>
    <t>−0.238</t>
  </si>
  <si>
    <t>−0.274</t>
  </si>
  <si>
    <t>−0.116</t>
  </si>
  <si>
    <t>−0.206</t>
  </si>
  <si>
    <t>−0.161</t>
  </si>
  <si>
    <t>−0.216</t>
  </si>
  <si>
    <t>−0.172</t>
  </si>
  <si>
    <t>Broken rock</t>
  </si>
  <si>
    <t>−0.1326</t>
  </si>
  <si>
    <t>−0.3158</t>
  </si>
  <si>
    <t>−0.0276</t>
  </si>
  <si>
    <t>−0.1041</t>
  </si>
  <si>
    <t>−0.1582</t>
  </si>
  <si>
    <t>−0.0233</t>
  </si>
  <si>
    <t>−0.1700</t>
  </si>
  <si>
    <t>−0.2054</t>
  </si>
  <si>
    <t>−0.0036</t>
  </si>
  <si>
    <t>−0.0527</t>
  </si>
  <si>
    <t>−0.0334</t>
  </si>
  <si>
    <t>−0.1634</t>
  </si>
  <si>
    <t>−0.0647</t>
  </si>
  <si>
    <t>−0.0038</t>
  </si>
  <si>
    <t>−0.0794</t>
  </si>
  <si>
    <t>−0.0529</t>
  </si>
  <si>
    <t>−0.1539</t>
  </si>
  <si>
    <t>−0.1528</t>
  </si>
  <si>
    <t>−0.0456</t>
  </si>
  <si>
    <t>−0.0884</t>
  </si>
  <si>
    <t>−0.0719</t>
  </si>
  <si>
    <t>−0.1143</t>
  </si>
  <si>
    <t>−0.1343</t>
  </si>
  <si>
    <t>−0.1619</t>
  </si>
  <si>
    <t>−0.0913</t>
  </si>
  <si>
    <t>−0.0911</t>
  </si>
  <si>
    <t>−0.02015</t>
  </si>
  <si>
    <t>−0.02903</t>
  </si>
  <si>
    <t>−0.05265</t>
  </si>
  <si>
    <t>−0.04181</t>
  </si>
  <si>
    <t>−0.02524</t>
  </si>
  <si>
    <t>−0.01896</t>
  </si>
  <si>
    <t>−0.19684</t>
  </si>
  <si>
    <t>−0.00199</t>
  </si>
  <si>
    <t>−0.17797</t>
  </si>
  <si>
    <t>−0.06536</t>
  </si>
  <si>
    <t>−0.06086</t>
  </si>
  <si>
    <t>−0.16141</t>
  </si>
  <si>
    <t>−0.05907</t>
  </si>
  <si>
    <t>−0.00167</t>
  </si>
  <si>
    <t>−0.24514</t>
  </si>
  <si>
    <t>−0.01912</t>
  </si>
  <si>
    <t>−0.02019</t>
  </si>
  <si>
    <t>−0.16897</t>
  </si>
  <si>
    <t>−0.01645</t>
  </si>
  <si>
    <t>−0.05875</t>
  </si>
  <si>
    <t>−0.00473</t>
  </si>
  <si>
    <t>−0.01469</t>
  </si>
  <si>
    <t>−0.00197</t>
  </si>
  <si>
    <t>−0.07287</t>
  </si>
  <si>
    <t>−0.03223</t>
  </si>
  <si>
    <t>−0.03259</t>
  </si>
  <si>
    <t>Dump-pile</t>
  </si>
  <si>
    <t>−0.00439</t>
  </si>
  <si>
    <t>−0.18201</t>
  </si>
  <si>
    <t>−0.03466</t>
  </si>
  <si>
    <t>−0.07659</t>
  </si>
  <si>
    <t>−0.01473</t>
  </si>
  <si>
    <t>−0.05167</t>
  </si>
  <si>
    <t>−0.05446</t>
  </si>
  <si>
    <t>−0.03459</t>
  </si>
  <si>
    <t>Float</t>
  </si>
  <si>
    <t>−0.09116</t>
  </si>
  <si>
    <t>−0.20359</t>
  </si>
  <si>
    <t>−0.37103</t>
  </si>
  <si>
    <t>−0.01466</t>
  </si>
  <si>
    <t>−0.02149</t>
  </si>
  <si>
    <t>−0.17791</t>
  </si>
  <si>
    <t>−0.19511</t>
  </si>
  <si>
    <t>−0.03373</t>
  </si>
  <si>
    <t>−0.06393</t>
  </si>
  <si>
    <t>−0.21296</t>
  </si>
  <si>
    <t>−0.00761</t>
  </si>
  <si>
    <t>−0.04817</t>
  </si>
  <si>
    <t>−0.18089</t>
  </si>
  <si>
    <t>−0.19389</t>
  </si>
  <si>
    <t>−0.06448</t>
  </si>
  <si>
    <t>−0.09678</t>
  </si>
  <si>
    <t>−0.15267</t>
  </si>
  <si>
    <t>−0.14275</t>
  </si>
  <si>
    <t>−0.00077</t>
  </si>
  <si>
    <t>−0.07297</t>
  </si>
  <si>
    <t>−0.11629</t>
  </si>
  <si>
    <t>−0.06911</t>
  </si>
  <si>
    <t>−0.10801</t>
  </si>
  <si>
    <t>−0.16116</t>
  </si>
  <si>
    <t>−0.15928</t>
  </si>
  <si>
    <t>−0.03443</t>
  </si>
  <si>
    <t>−0.04500</t>
  </si>
  <si>
    <t>Meteorite</t>
  </si>
  <si>
    <t>−0.00915</t>
  </si>
  <si>
    <t>−0.12928</t>
  </si>
  <si>
    <t>−0.15880</t>
  </si>
  <si>
    <t>−0.00788</t>
  </si>
  <si>
    <t>−0.16186</t>
  </si>
  <si>
    <t>−0.00729</t>
  </si>
  <si>
    <t>−0.02332</t>
  </si>
  <si>
    <t>−0.11289</t>
  </si>
  <si>
    <t>−0.01906</t>
  </si>
  <si>
    <t>−0.17678</t>
  </si>
  <si>
    <t>−0.05091</t>
  </si>
  <si>
    <t>−0.05224</t>
  </si>
  <si>
    <t>−0.05941</t>
  </si>
  <si>
    <t>−0.01230</t>
  </si>
  <si>
    <t>−0.09863</t>
  </si>
  <si>
    <t>−0.13165</t>
  </si>
  <si>
    <t>−0.02843</t>
  </si>
  <si>
    <t>−0.08085</t>
  </si>
  <si>
    <t>−0.09504</t>
  </si>
  <si>
    <t>−0.11838</t>
  </si>
  <si>
    <t>−0.19470</t>
  </si>
  <si>
    <t>−0.12856</t>
  </si>
  <si>
    <t>−0.17441</t>
  </si>
  <si>
    <t>−0.08780</t>
  </si>
  <si>
    <t>−0.19527</t>
  </si>
  <si>
    <t>Scuff</t>
  </si>
  <si>
    <t>−0.01314</t>
  </si>
  <si>
    <t>−0.04266</t>
  </si>
  <si>
    <t>−0.02500</t>
  </si>
  <si>
    <t>−0.17212</t>
  </si>
  <si>
    <t>−0.07242</t>
  </si>
  <si>
    <t>−0.17113</t>
  </si>
  <si>
    <t>−0.08755</t>
  </si>
  <si>
    <t>−0.05456</t>
  </si>
  <si>
    <t>−0.08408</t>
  </si>
  <si>
    <t>−0.02158</t>
  </si>
  <si>
    <t>−0.16617</t>
  </si>
  <si>
    <t>−0.08358</t>
  </si>
  <si>
    <t>−0.20094</t>
  </si>
  <si>
    <t>−0.00372</t>
  </si>
  <si>
    <t>−0.03851</t>
  </si>
  <si>
    <t>−0.02643</t>
  </si>
  <si>
    <t>−0.03323</t>
  </si>
  <si>
    <t>−0.08829</t>
  </si>
  <si>
    <t>−0.03963</t>
  </si>
  <si>
    <t>−0.01910</t>
  </si>
  <si>
    <t>−0.04855</t>
  </si>
  <si>
    <t>−0.02403</t>
  </si>
  <si>
    <t>Veins</t>
  </si>
  <si>
    <t>−0.15198</t>
  </si>
  <si>
    <t>−0.19988</t>
  </si>
  <si>
    <t>−0.33353</t>
  </si>
  <si>
    <t>−0.16945</t>
  </si>
  <si>
    <t>−0.22702</t>
  </si>
  <si>
    <t>−0.22921</t>
  </si>
  <si>
    <t>−0.34587</t>
  </si>
  <si>
    <t>−0.05194</t>
  </si>
  <si>
    <t>−0.14087</t>
  </si>
  <si>
    <t>−0.11564</t>
  </si>
  <si>
    <t>−0.00517</t>
  </si>
  <si>
    <t>−0.16623</t>
  </si>
  <si>
    <t>−0.23345</t>
  </si>
  <si>
    <t>−0.22675</t>
  </si>
  <si>
    <t>−0.35437</t>
  </si>
  <si>
    <t>−0.03595</t>
  </si>
  <si>
    <t>−0.06603</t>
  </si>
  <si>
    <t>−0.13933</t>
  </si>
  <si>
    <t>−0.02933</t>
  </si>
  <si>
    <t>−0.00547</t>
  </si>
  <si>
    <t>−0.16180</t>
  </si>
  <si>
    <t>−0.14680</t>
  </si>
  <si>
    <t>−0.00212</t>
  </si>
  <si>
    <t>−0.20623</t>
  </si>
  <si>
    <t>−0.30266</t>
  </si>
  <si>
    <t>−0.21877</t>
  </si>
  <si>
    <t>−0.30199</t>
  </si>
  <si>
    <t>−0.31013</t>
  </si>
  <si>
    <t>−0.19104</t>
  </si>
  <si>
    <t>−0.15839</t>
  </si>
  <si>
    <t>PCA</t>
  </si>
  <si>
    <t>RSS Memory n=500</t>
  </si>
  <si>
    <t>RSS Memory n=1000</t>
  </si>
  <si>
    <t>RSS Memory n=1500</t>
  </si>
  <si>
    <t>RSS Memory  n=3000</t>
  </si>
  <si>
    <t>CP</t>
  </si>
  <si>
    <t>RSS Memory n=3000</t>
  </si>
  <si>
    <t>Tucker</t>
  </si>
  <si>
    <t>CPU Time n=500</t>
  </si>
  <si>
    <t>CPU Time n=1000</t>
  </si>
  <si>
    <t>CPU Time n=1500</t>
  </si>
  <si>
    <t>CPU Time n=3000</t>
  </si>
  <si>
    <t>−0.447</t>
  </si>
  <si>
    <t>−0.115</t>
  </si>
  <si>
    <t>−0.200</t>
  </si>
  <si>
    <t>−0.188</t>
  </si>
  <si>
    <t>−0.227</t>
  </si>
  <si>
    <t>−0.049</t>
  </si>
  <si>
    <t>−0.289</t>
  </si>
  <si>
    <t>−0.270</t>
  </si>
  <si>
    <t>n</t>
  </si>
  <si>
    <t>Ranks with lowest false positives</t>
  </si>
  <si>
    <t>Ranks with lowest false positives for PCA</t>
  </si>
  <si>
    <t>Ranks with Lowest False Positives for CP Decomposition</t>
  </si>
  <si>
    <t>Ranks with Lowest False Positives for Tucker Decomposition</t>
  </si>
  <si>
    <t>sd</t>
  </si>
  <si>
    <t>pca_std</t>
  </si>
  <si>
    <t>500_pca</t>
  </si>
  <si>
    <t>Standard deviation for randomized sampling</t>
  </si>
  <si>
    <t>1000_pca</t>
  </si>
  <si>
    <t>1500_pca</t>
  </si>
  <si>
    <t>3000_pca</t>
  </si>
  <si>
    <t>500_cp</t>
  </si>
  <si>
    <t>1000_cp</t>
  </si>
  <si>
    <t>1500_cp</t>
  </si>
  <si>
    <t>3000_cp</t>
  </si>
  <si>
    <t>cp_std</t>
  </si>
  <si>
    <t>500_tucker</t>
  </si>
  <si>
    <t>1000_tucker</t>
  </si>
  <si>
    <t>1500_tucker</t>
  </si>
  <si>
    <t>3000_tucker</t>
  </si>
  <si>
    <t>tucker_std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</si>
</sst>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  <a:r>
              <a:rPr lang="en-US" baseline="0"/>
              <a:t> for PCA training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Memory!$A$2</c:f>
              <c:strCache>
                <c:ptCount val="1"/>
                <c:pt idx="0">
                  <c:v>RSS Memory n=500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Memory!$A$3:$A$77</c:f>
              <c:numCache>
                <c:formatCode>General</c:formatCode>
                <c:ptCount val="75"/>
                <c:pt idx="0">
                  <c:v>943.3</c:v>
                </c:pt>
                <c:pt idx="1">
                  <c:v>1015.2</c:v>
                </c:pt>
                <c:pt idx="2">
                  <c:v>1102.2</c:v>
                </c:pt>
                <c:pt idx="3">
                  <c:v>1137.8</c:v>
                </c:pt>
                <c:pt idx="4">
                  <c:v>1210.8</c:v>
                </c:pt>
                <c:pt idx="5">
                  <c:v>1278.7</c:v>
                </c:pt>
                <c:pt idx="6">
                  <c:v>1332.5</c:v>
                </c:pt>
                <c:pt idx="7">
                  <c:v>1421.4</c:v>
                </c:pt>
                <c:pt idx="8">
                  <c:v>1479.5</c:v>
                </c:pt>
                <c:pt idx="9">
                  <c:v>1528.1</c:v>
                </c:pt>
                <c:pt idx="10">
                  <c:v>1617.3</c:v>
                </c:pt>
                <c:pt idx="11">
                  <c:v>1687.1</c:v>
                </c:pt>
                <c:pt idx="12">
                  <c:v>1750.7</c:v>
                </c:pt>
                <c:pt idx="13">
                  <c:v>1845.2</c:v>
                </c:pt>
                <c:pt idx="14">
                  <c:v>1938.4</c:v>
                </c:pt>
                <c:pt idx="15">
                  <c:v>1951.4</c:v>
                </c:pt>
                <c:pt idx="16">
                  <c:v>2059.4</c:v>
                </c:pt>
                <c:pt idx="17">
                  <c:v>2046</c:v>
                </c:pt>
                <c:pt idx="18">
                  <c:v>2142.1999999999998</c:v>
                </c:pt>
                <c:pt idx="19">
                  <c:v>2215.9</c:v>
                </c:pt>
                <c:pt idx="20">
                  <c:v>2280.8000000000002</c:v>
                </c:pt>
                <c:pt idx="21">
                  <c:v>2378.6999999999998</c:v>
                </c:pt>
                <c:pt idx="22">
                  <c:v>2480.1999999999998</c:v>
                </c:pt>
                <c:pt idx="23">
                  <c:v>2598.9</c:v>
                </c:pt>
                <c:pt idx="24">
                  <c:v>2715.8</c:v>
                </c:pt>
                <c:pt idx="25">
                  <c:v>2822.2</c:v>
                </c:pt>
                <c:pt idx="26">
                  <c:v>2898.3</c:v>
                </c:pt>
                <c:pt idx="27">
                  <c:v>2944.4</c:v>
                </c:pt>
                <c:pt idx="28">
                  <c:v>3112.5</c:v>
                </c:pt>
                <c:pt idx="29">
                  <c:v>3299.1</c:v>
                </c:pt>
                <c:pt idx="30">
                  <c:v>3489.4</c:v>
                </c:pt>
                <c:pt idx="31">
                  <c:v>3543</c:v>
                </c:pt>
                <c:pt idx="32">
                  <c:v>3489.9</c:v>
                </c:pt>
                <c:pt idx="33">
                  <c:v>3532.2</c:v>
                </c:pt>
                <c:pt idx="34">
                  <c:v>3601.5</c:v>
                </c:pt>
                <c:pt idx="35">
                  <c:v>3744.6</c:v>
                </c:pt>
                <c:pt idx="36">
                  <c:v>3916.1</c:v>
                </c:pt>
                <c:pt idx="37">
                  <c:v>3817.5</c:v>
                </c:pt>
                <c:pt idx="38">
                  <c:v>3863.2</c:v>
                </c:pt>
                <c:pt idx="39">
                  <c:v>3912.9</c:v>
                </c:pt>
                <c:pt idx="40">
                  <c:v>4008.6</c:v>
                </c:pt>
                <c:pt idx="41">
                  <c:v>4155.3999999999996</c:v>
                </c:pt>
                <c:pt idx="42">
                  <c:v>4318.5</c:v>
                </c:pt>
                <c:pt idx="43">
                  <c:v>4210</c:v>
                </c:pt>
                <c:pt idx="44">
                  <c:v>4275.3999999999996</c:v>
                </c:pt>
                <c:pt idx="45">
                  <c:v>4370.3999999999996</c:v>
                </c:pt>
                <c:pt idx="46">
                  <c:v>4488.3999999999996</c:v>
                </c:pt>
                <c:pt idx="47">
                  <c:v>4638.2</c:v>
                </c:pt>
                <c:pt idx="48">
                  <c:v>4798.7</c:v>
                </c:pt>
                <c:pt idx="49">
                  <c:v>4685</c:v>
                </c:pt>
                <c:pt idx="50">
                  <c:v>4752.2</c:v>
                </c:pt>
                <c:pt idx="51">
                  <c:v>4845.8999999999996</c:v>
                </c:pt>
                <c:pt idx="52">
                  <c:v>4910.1000000000004</c:v>
                </c:pt>
                <c:pt idx="53">
                  <c:v>1304.2</c:v>
                </c:pt>
                <c:pt idx="54">
                  <c:v>1348.5</c:v>
                </c:pt>
                <c:pt idx="55">
                  <c:v>4279.2</c:v>
                </c:pt>
                <c:pt idx="56">
                  <c:v>4344.8999999999996</c:v>
                </c:pt>
                <c:pt idx="57">
                  <c:v>4449.7</c:v>
                </c:pt>
                <c:pt idx="58">
                  <c:v>4570.3999999999996</c:v>
                </c:pt>
                <c:pt idx="59">
                  <c:v>4714.8999999999996</c:v>
                </c:pt>
                <c:pt idx="60">
                  <c:v>4907.7</c:v>
                </c:pt>
                <c:pt idx="61">
                  <c:v>5100.5</c:v>
                </c:pt>
                <c:pt idx="62">
                  <c:v>5016.8999999999996</c:v>
                </c:pt>
                <c:pt idx="63">
                  <c:v>5161</c:v>
                </c:pt>
                <c:pt idx="64">
                  <c:v>5307.2</c:v>
                </c:pt>
                <c:pt idx="65">
                  <c:v>5457.4</c:v>
                </c:pt>
                <c:pt idx="66">
                  <c:v>5620.1</c:v>
                </c:pt>
                <c:pt idx="67">
                  <c:v>5808.1</c:v>
                </c:pt>
                <c:pt idx="68">
                  <c:v>6011.9</c:v>
                </c:pt>
                <c:pt idx="69">
                  <c:v>6170.5</c:v>
                </c:pt>
                <c:pt idx="70">
                  <c:v>5951.2</c:v>
                </c:pt>
                <c:pt idx="71">
                  <c:v>6062.8</c:v>
                </c:pt>
                <c:pt idx="72">
                  <c:v>6204.4</c:v>
                </c:pt>
                <c:pt idx="73">
                  <c:v>6364.1</c:v>
                </c:pt>
                <c:pt idx="74">
                  <c:v>6505.1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F8-432E-B0F1-982856AA1A67}"/>
            </c:ext>
          </c:extLst>
        </c:ser>
        <c:ser>
          <c:idx val="1"/>
          <c:order val="1"/>
          <c:tx>
            <c:strRef>
              <c:f>Memory!$B$2</c:f>
              <c:strCache>
                <c:ptCount val="1"/>
                <c:pt idx="0">
                  <c:v>RSS Memory n=1000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Memory!$B$3:$B$77</c:f>
              <c:numCache>
                <c:formatCode>General</c:formatCode>
                <c:ptCount val="75"/>
                <c:pt idx="0">
                  <c:v>1300.8</c:v>
                </c:pt>
                <c:pt idx="1">
                  <c:v>1400.1</c:v>
                </c:pt>
                <c:pt idx="2">
                  <c:v>1473.7</c:v>
                </c:pt>
                <c:pt idx="3">
                  <c:v>1556.8</c:v>
                </c:pt>
                <c:pt idx="4">
                  <c:v>1626.3</c:v>
                </c:pt>
                <c:pt idx="5">
                  <c:v>1680.8</c:v>
                </c:pt>
                <c:pt idx="6">
                  <c:v>1754.7</c:v>
                </c:pt>
                <c:pt idx="7">
                  <c:v>1841.2</c:v>
                </c:pt>
                <c:pt idx="8">
                  <c:v>1938.1</c:v>
                </c:pt>
                <c:pt idx="9">
                  <c:v>2029.3</c:v>
                </c:pt>
                <c:pt idx="10">
                  <c:v>2084.9</c:v>
                </c:pt>
                <c:pt idx="11">
                  <c:v>2205.6</c:v>
                </c:pt>
                <c:pt idx="12">
                  <c:v>2127.5</c:v>
                </c:pt>
                <c:pt idx="13">
                  <c:v>2215.9</c:v>
                </c:pt>
                <c:pt idx="14">
                  <c:v>2146.9</c:v>
                </c:pt>
                <c:pt idx="15">
                  <c:v>2250.6999999999998</c:v>
                </c:pt>
                <c:pt idx="16">
                  <c:v>2364.1999999999998</c:v>
                </c:pt>
                <c:pt idx="17">
                  <c:v>2259.9</c:v>
                </c:pt>
                <c:pt idx="18">
                  <c:v>2423.3000000000002</c:v>
                </c:pt>
                <c:pt idx="19">
                  <c:v>2456.1</c:v>
                </c:pt>
                <c:pt idx="20">
                  <c:v>2496.5</c:v>
                </c:pt>
                <c:pt idx="21">
                  <c:v>2651.9</c:v>
                </c:pt>
                <c:pt idx="22">
                  <c:v>2770.4</c:v>
                </c:pt>
                <c:pt idx="23">
                  <c:v>2735.9</c:v>
                </c:pt>
                <c:pt idx="24">
                  <c:v>2885.4</c:v>
                </c:pt>
                <c:pt idx="25">
                  <c:v>3006.5</c:v>
                </c:pt>
                <c:pt idx="26">
                  <c:v>2889.9</c:v>
                </c:pt>
                <c:pt idx="27">
                  <c:v>2977.3</c:v>
                </c:pt>
                <c:pt idx="28">
                  <c:v>3100.1</c:v>
                </c:pt>
                <c:pt idx="29">
                  <c:v>3225.1</c:v>
                </c:pt>
                <c:pt idx="30">
                  <c:v>3187.1</c:v>
                </c:pt>
                <c:pt idx="31">
                  <c:v>3282.7</c:v>
                </c:pt>
                <c:pt idx="32">
                  <c:v>3466.3</c:v>
                </c:pt>
                <c:pt idx="33">
                  <c:v>3657.7</c:v>
                </c:pt>
                <c:pt idx="34">
                  <c:v>3616.6</c:v>
                </c:pt>
                <c:pt idx="35">
                  <c:v>3592.7</c:v>
                </c:pt>
                <c:pt idx="36">
                  <c:v>3698.3</c:v>
                </c:pt>
                <c:pt idx="37">
                  <c:v>3831.5</c:v>
                </c:pt>
                <c:pt idx="38">
                  <c:v>3928.3</c:v>
                </c:pt>
                <c:pt idx="39">
                  <c:v>3886</c:v>
                </c:pt>
                <c:pt idx="40">
                  <c:v>4007.1</c:v>
                </c:pt>
                <c:pt idx="41">
                  <c:v>4129.7</c:v>
                </c:pt>
                <c:pt idx="42">
                  <c:v>4266.8999999999996</c:v>
                </c:pt>
                <c:pt idx="43">
                  <c:v>4432.2</c:v>
                </c:pt>
                <c:pt idx="44">
                  <c:v>4347.8</c:v>
                </c:pt>
                <c:pt idx="45">
                  <c:v>4437.5</c:v>
                </c:pt>
                <c:pt idx="46">
                  <c:v>4554.3999999999996</c:v>
                </c:pt>
                <c:pt idx="47">
                  <c:v>4700.6000000000004</c:v>
                </c:pt>
                <c:pt idx="48">
                  <c:v>4878.8</c:v>
                </c:pt>
                <c:pt idx="49">
                  <c:v>5023.5</c:v>
                </c:pt>
                <c:pt idx="50">
                  <c:v>4951</c:v>
                </c:pt>
                <c:pt idx="51">
                  <c:v>5058.3</c:v>
                </c:pt>
                <c:pt idx="52">
                  <c:v>5201.1000000000004</c:v>
                </c:pt>
                <c:pt idx="53">
                  <c:v>5367.5</c:v>
                </c:pt>
                <c:pt idx="54">
                  <c:v>5462.5</c:v>
                </c:pt>
                <c:pt idx="55">
                  <c:v>5487.8</c:v>
                </c:pt>
                <c:pt idx="56">
                  <c:v>5374.7</c:v>
                </c:pt>
                <c:pt idx="57">
                  <c:v>5347.7</c:v>
                </c:pt>
                <c:pt idx="58">
                  <c:v>5480.1</c:v>
                </c:pt>
                <c:pt idx="59">
                  <c:v>5635.2</c:v>
                </c:pt>
                <c:pt idx="60">
                  <c:v>5563.7</c:v>
                </c:pt>
                <c:pt idx="61">
                  <c:v>5957.6</c:v>
                </c:pt>
                <c:pt idx="62">
                  <c:v>6030.6</c:v>
                </c:pt>
                <c:pt idx="63">
                  <c:v>5982.4</c:v>
                </c:pt>
                <c:pt idx="64">
                  <c:v>6000.4</c:v>
                </c:pt>
                <c:pt idx="65">
                  <c:v>5994.8</c:v>
                </c:pt>
                <c:pt idx="66">
                  <c:v>6095.9</c:v>
                </c:pt>
                <c:pt idx="67">
                  <c:v>5909.3</c:v>
                </c:pt>
                <c:pt idx="68">
                  <c:v>6021.8</c:v>
                </c:pt>
                <c:pt idx="69">
                  <c:v>6461.4</c:v>
                </c:pt>
                <c:pt idx="70">
                  <c:v>6707.9</c:v>
                </c:pt>
                <c:pt idx="71">
                  <c:v>5109.6000000000004</c:v>
                </c:pt>
                <c:pt idx="72">
                  <c:v>4755</c:v>
                </c:pt>
                <c:pt idx="73">
                  <c:v>4458.3</c:v>
                </c:pt>
                <c:pt idx="74">
                  <c:v>4549.3999999999996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F8-432E-B0F1-982856AA1A67}"/>
            </c:ext>
          </c:extLst>
        </c:ser>
        <c:ser>
          <c:idx val="2"/>
          <c:order val="2"/>
          <c:tx>
            <c:strRef>
              <c:f>Memory!$C$2</c:f>
              <c:strCache>
                <c:ptCount val="1"/>
                <c:pt idx="0">
                  <c:v>RSS Memory n=1500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Memory!$C$3:$C$77</c:f>
              <c:numCache>
                <c:formatCode>General</c:formatCode>
                <c:ptCount val="75"/>
                <c:pt idx="0">
                  <c:v>1458.9</c:v>
                </c:pt>
                <c:pt idx="1">
                  <c:v>1598.6</c:v>
                </c:pt>
                <c:pt idx="2">
                  <c:v>1701.3</c:v>
                </c:pt>
                <c:pt idx="3">
                  <c:v>1785.6</c:v>
                </c:pt>
                <c:pt idx="4">
                  <c:v>1868.2</c:v>
                </c:pt>
                <c:pt idx="5">
                  <c:v>1956.9</c:v>
                </c:pt>
                <c:pt idx="6">
                  <c:v>2018.6</c:v>
                </c:pt>
                <c:pt idx="7">
                  <c:v>2122.4</c:v>
                </c:pt>
                <c:pt idx="8">
                  <c:v>2204.6999999999998</c:v>
                </c:pt>
                <c:pt idx="9">
                  <c:v>2270.8000000000002</c:v>
                </c:pt>
                <c:pt idx="10">
                  <c:v>2355.1999999999998</c:v>
                </c:pt>
                <c:pt idx="11">
                  <c:v>2455.1999999999998</c:v>
                </c:pt>
                <c:pt idx="12">
                  <c:v>2546.6</c:v>
                </c:pt>
                <c:pt idx="13">
                  <c:v>2620.5</c:v>
                </c:pt>
                <c:pt idx="14">
                  <c:v>2751.8</c:v>
                </c:pt>
                <c:pt idx="15">
                  <c:v>2862.7</c:v>
                </c:pt>
                <c:pt idx="16">
                  <c:v>2951</c:v>
                </c:pt>
                <c:pt idx="17">
                  <c:v>3025.5</c:v>
                </c:pt>
                <c:pt idx="18">
                  <c:v>3095.9</c:v>
                </c:pt>
                <c:pt idx="19">
                  <c:v>3156.4</c:v>
                </c:pt>
                <c:pt idx="20">
                  <c:v>3223.6</c:v>
                </c:pt>
                <c:pt idx="21">
                  <c:v>3337.3</c:v>
                </c:pt>
                <c:pt idx="22">
                  <c:v>3424.2</c:v>
                </c:pt>
                <c:pt idx="23">
                  <c:v>2834.6</c:v>
                </c:pt>
                <c:pt idx="24">
                  <c:v>2250.5</c:v>
                </c:pt>
                <c:pt idx="25">
                  <c:v>2881.6</c:v>
                </c:pt>
                <c:pt idx="26">
                  <c:v>2910.8</c:v>
                </c:pt>
                <c:pt idx="27">
                  <c:v>3023.7</c:v>
                </c:pt>
                <c:pt idx="28">
                  <c:v>3083.3</c:v>
                </c:pt>
                <c:pt idx="29">
                  <c:v>3233.6</c:v>
                </c:pt>
                <c:pt idx="30">
                  <c:v>3321.2</c:v>
                </c:pt>
                <c:pt idx="31">
                  <c:v>3445</c:v>
                </c:pt>
                <c:pt idx="32">
                  <c:v>3619.7</c:v>
                </c:pt>
                <c:pt idx="33">
                  <c:v>3796.3</c:v>
                </c:pt>
                <c:pt idx="34">
                  <c:v>3740</c:v>
                </c:pt>
                <c:pt idx="35">
                  <c:v>3704</c:v>
                </c:pt>
                <c:pt idx="36">
                  <c:v>3722.8</c:v>
                </c:pt>
                <c:pt idx="37">
                  <c:v>3988.7</c:v>
                </c:pt>
                <c:pt idx="38">
                  <c:v>4275.2</c:v>
                </c:pt>
                <c:pt idx="39">
                  <c:v>4457.7</c:v>
                </c:pt>
                <c:pt idx="40">
                  <c:v>4619.5</c:v>
                </c:pt>
                <c:pt idx="41">
                  <c:v>1597.9</c:v>
                </c:pt>
                <c:pt idx="42">
                  <c:v>4034.6</c:v>
                </c:pt>
                <c:pt idx="43">
                  <c:v>4035.3</c:v>
                </c:pt>
                <c:pt idx="44">
                  <c:v>4261.3999999999996</c:v>
                </c:pt>
                <c:pt idx="45">
                  <c:v>4520.2</c:v>
                </c:pt>
                <c:pt idx="46">
                  <c:v>4544.3999999999996</c:v>
                </c:pt>
                <c:pt idx="47">
                  <c:v>5237.8999999999996</c:v>
                </c:pt>
                <c:pt idx="48">
                  <c:v>5534.8</c:v>
                </c:pt>
                <c:pt idx="49">
                  <c:v>5758.1</c:v>
                </c:pt>
                <c:pt idx="50">
                  <c:v>5978.4</c:v>
                </c:pt>
                <c:pt idx="51">
                  <c:v>6243.8</c:v>
                </c:pt>
                <c:pt idx="52">
                  <c:v>6327.8</c:v>
                </c:pt>
                <c:pt idx="53">
                  <c:v>6534.5</c:v>
                </c:pt>
                <c:pt idx="54">
                  <c:v>6703.3</c:v>
                </c:pt>
                <c:pt idx="55">
                  <c:v>1120.5999999999999</c:v>
                </c:pt>
                <c:pt idx="56">
                  <c:v>1312.3</c:v>
                </c:pt>
                <c:pt idx="57">
                  <c:v>1313.2</c:v>
                </c:pt>
                <c:pt idx="58">
                  <c:v>7424.8</c:v>
                </c:pt>
                <c:pt idx="59">
                  <c:v>7761.4</c:v>
                </c:pt>
                <c:pt idx="60">
                  <c:v>8078.6</c:v>
                </c:pt>
                <c:pt idx="61">
                  <c:v>8364.2000000000007</c:v>
                </c:pt>
                <c:pt idx="62">
                  <c:v>8628.7999999999993</c:v>
                </c:pt>
                <c:pt idx="63">
                  <c:v>8814.9</c:v>
                </c:pt>
                <c:pt idx="64">
                  <c:v>9038.9</c:v>
                </c:pt>
                <c:pt idx="65">
                  <c:v>9400.7999999999993</c:v>
                </c:pt>
                <c:pt idx="66">
                  <c:v>9746.7000000000007</c:v>
                </c:pt>
                <c:pt idx="67">
                  <c:v>10088.200000000001</c:v>
                </c:pt>
                <c:pt idx="68">
                  <c:v>10309.299999999999</c:v>
                </c:pt>
                <c:pt idx="69">
                  <c:v>10518.7</c:v>
                </c:pt>
                <c:pt idx="70">
                  <c:v>10872.4</c:v>
                </c:pt>
                <c:pt idx="71">
                  <c:v>11350.8</c:v>
                </c:pt>
                <c:pt idx="72">
                  <c:v>11752.7</c:v>
                </c:pt>
                <c:pt idx="73">
                  <c:v>11797.8</c:v>
                </c:pt>
                <c:pt idx="74">
                  <c:v>11821.9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F8-432E-B0F1-982856AA1A67}"/>
            </c:ext>
          </c:extLst>
        </c:ser>
        <c:ser>
          <c:idx val="3"/>
          <c:order val="3"/>
          <c:tx>
            <c:strRef>
              <c:f>Memory!$D$2</c:f>
              <c:strCache>
                <c:ptCount val="1"/>
                <c:pt idx="0">
                  <c:v>RSS Memory  n=3000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Memory!$D$3:$D$77</c:f>
              <c:numCache>
                <c:formatCode>General</c:formatCode>
                <c:ptCount val="75"/>
                <c:pt idx="0">
                  <c:v>2002.3</c:v>
                </c:pt>
                <c:pt idx="1">
                  <c:v>2217.5</c:v>
                </c:pt>
                <c:pt idx="2">
                  <c:v>2352.8000000000002</c:v>
                </c:pt>
                <c:pt idx="3">
                  <c:v>2453.8000000000002</c:v>
                </c:pt>
                <c:pt idx="4">
                  <c:v>2554.5</c:v>
                </c:pt>
                <c:pt idx="5">
                  <c:v>2663.7</c:v>
                </c:pt>
                <c:pt idx="6">
                  <c:v>2740.6</c:v>
                </c:pt>
                <c:pt idx="7">
                  <c:v>2864.3</c:v>
                </c:pt>
                <c:pt idx="8">
                  <c:v>2978.1</c:v>
                </c:pt>
                <c:pt idx="9">
                  <c:v>3104.9</c:v>
                </c:pt>
                <c:pt idx="10">
                  <c:v>3005.4</c:v>
                </c:pt>
                <c:pt idx="11">
                  <c:v>3099.7</c:v>
                </c:pt>
                <c:pt idx="12">
                  <c:v>3219.2</c:v>
                </c:pt>
                <c:pt idx="13">
                  <c:v>3350.7</c:v>
                </c:pt>
                <c:pt idx="14">
                  <c:v>3453.5</c:v>
                </c:pt>
                <c:pt idx="15">
                  <c:v>3506.1</c:v>
                </c:pt>
                <c:pt idx="16">
                  <c:v>3585.1</c:v>
                </c:pt>
                <c:pt idx="17">
                  <c:v>3702.8</c:v>
                </c:pt>
                <c:pt idx="18">
                  <c:v>3858.1</c:v>
                </c:pt>
                <c:pt idx="19">
                  <c:v>3958.2</c:v>
                </c:pt>
                <c:pt idx="20">
                  <c:v>4103.6000000000004</c:v>
                </c:pt>
                <c:pt idx="21">
                  <c:v>4254.8</c:v>
                </c:pt>
                <c:pt idx="22">
                  <c:v>4370</c:v>
                </c:pt>
                <c:pt idx="23">
                  <c:v>4481.7</c:v>
                </c:pt>
                <c:pt idx="24">
                  <c:v>4680.2</c:v>
                </c:pt>
                <c:pt idx="25">
                  <c:v>4841.3</c:v>
                </c:pt>
                <c:pt idx="26">
                  <c:v>4954.1000000000004</c:v>
                </c:pt>
                <c:pt idx="27">
                  <c:v>4994.8999999999996</c:v>
                </c:pt>
                <c:pt idx="28">
                  <c:v>4692.2</c:v>
                </c:pt>
                <c:pt idx="29">
                  <c:v>4850.7</c:v>
                </c:pt>
                <c:pt idx="30">
                  <c:v>4543.8999999999996</c:v>
                </c:pt>
                <c:pt idx="31">
                  <c:v>4736.3999999999996</c:v>
                </c:pt>
                <c:pt idx="32">
                  <c:v>4742.8</c:v>
                </c:pt>
                <c:pt idx="33">
                  <c:v>4844</c:v>
                </c:pt>
                <c:pt idx="34">
                  <c:v>4003.5</c:v>
                </c:pt>
                <c:pt idx="35">
                  <c:v>4263.1000000000004</c:v>
                </c:pt>
                <c:pt idx="36">
                  <c:v>4413.6000000000004</c:v>
                </c:pt>
                <c:pt idx="37">
                  <c:v>5117.2</c:v>
                </c:pt>
                <c:pt idx="38">
                  <c:v>4741.3999999999996</c:v>
                </c:pt>
                <c:pt idx="39">
                  <c:v>4939.7</c:v>
                </c:pt>
                <c:pt idx="40">
                  <c:v>5015.8</c:v>
                </c:pt>
                <c:pt idx="41">
                  <c:v>4476.2</c:v>
                </c:pt>
                <c:pt idx="42">
                  <c:v>5694.4</c:v>
                </c:pt>
                <c:pt idx="43">
                  <c:v>6336.9</c:v>
                </c:pt>
                <c:pt idx="44">
                  <c:v>6448.6</c:v>
                </c:pt>
                <c:pt idx="45">
                  <c:v>6602.8</c:v>
                </c:pt>
                <c:pt idx="46">
                  <c:v>6503.4</c:v>
                </c:pt>
                <c:pt idx="47">
                  <c:v>3512.3</c:v>
                </c:pt>
                <c:pt idx="48">
                  <c:v>6777.6</c:v>
                </c:pt>
                <c:pt idx="49">
                  <c:v>6811.7</c:v>
                </c:pt>
                <c:pt idx="50">
                  <c:v>6095.6</c:v>
                </c:pt>
                <c:pt idx="51">
                  <c:v>5900.7</c:v>
                </c:pt>
                <c:pt idx="52">
                  <c:v>2019.2</c:v>
                </c:pt>
                <c:pt idx="53">
                  <c:v>7819.6</c:v>
                </c:pt>
                <c:pt idx="54">
                  <c:v>8241.7000000000007</c:v>
                </c:pt>
                <c:pt idx="55">
                  <c:v>7982.4</c:v>
                </c:pt>
                <c:pt idx="56">
                  <c:v>7499.1</c:v>
                </c:pt>
                <c:pt idx="57">
                  <c:v>6478.1</c:v>
                </c:pt>
                <c:pt idx="58">
                  <c:v>1516.8</c:v>
                </c:pt>
                <c:pt idx="59">
                  <c:v>9218.5</c:v>
                </c:pt>
                <c:pt idx="60">
                  <c:v>9042.5</c:v>
                </c:pt>
                <c:pt idx="61">
                  <c:v>8646.7999999999993</c:v>
                </c:pt>
                <c:pt idx="62">
                  <c:v>8077.6</c:v>
                </c:pt>
                <c:pt idx="63">
                  <c:v>7364.6</c:v>
                </c:pt>
                <c:pt idx="64">
                  <c:v>1250.5</c:v>
                </c:pt>
                <c:pt idx="65">
                  <c:v>10672.7</c:v>
                </c:pt>
                <c:pt idx="66">
                  <c:v>10243.5</c:v>
                </c:pt>
                <c:pt idx="67">
                  <c:v>8997.9</c:v>
                </c:pt>
                <c:pt idx="68">
                  <c:v>8255.1</c:v>
                </c:pt>
                <c:pt idx="69">
                  <c:v>7400.3</c:v>
                </c:pt>
                <c:pt idx="70">
                  <c:v>1395.8</c:v>
                </c:pt>
                <c:pt idx="71">
                  <c:v>10972.2</c:v>
                </c:pt>
                <c:pt idx="72">
                  <c:v>9717.6</c:v>
                </c:pt>
                <c:pt idx="73">
                  <c:v>2880.5</c:v>
                </c:pt>
                <c:pt idx="74">
                  <c:v>3614.4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F8-432E-B0F1-982856AA1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3290239"/>
        <c:axId val="873292159"/>
      </c:lineChart>
      <c:catAx>
        <c:axId val="87329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92159"/>
        <c:crosses val="autoZero"/>
        <c:auto val="1"/>
        <c:lblAlgn val="ctr"/>
        <c:lblOffset val="100"/>
        <c:noMultiLvlLbl val="0"/>
      </c:catAx>
      <c:valAx>
        <c:axId val="87329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9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</a:t>
            </a:r>
            <a:r>
              <a:rPr lang="en-US" baseline="0"/>
              <a:t> usage for CP training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Memory!$A$80</c:f>
              <c:strCache>
                <c:ptCount val="1"/>
                <c:pt idx="0">
                  <c:v>RSS Memory n=500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Memory!$A$81:$A$155</c:f>
              <c:numCache>
                <c:formatCode>General</c:formatCode>
                <c:ptCount val="75"/>
                <c:pt idx="0">
                  <c:v>1367.5</c:v>
                </c:pt>
                <c:pt idx="1">
                  <c:v>1663.5</c:v>
                </c:pt>
                <c:pt idx="2">
                  <c:v>1826.1</c:v>
                </c:pt>
                <c:pt idx="3">
                  <c:v>1965.3</c:v>
                </c:pt>
                <c:pt idx="4">
                  <c:v>2101.1</c:v>
                </c:pt>
                <c:pt idx="5">
                  <c:v>2305.6999999999998</c:v>
                </c:pt>
                <c:pt idx="6">
                  <c:v>2449.1999999999998</c:v>
                </c:pt>
                <c:pt idx="7">
                  <c:v>2610.5</c:v>
                </c:pt>
                <c:pt idx="8">
                  <c:v>2726.6</c:v>
                </c:pt>
                <c:pt idx="9">
                  <c:v>2860.4</c:v>
                </c:pt>
                <c:pt idx="10">
                  <c:v>3439.7</c:v>
                </c:pt>
                <c:pt idx="11">
                  <c:v>4595.7</c:v>
                </c:pt>
                <c:pt idx="12">
                  <c:v>5920.4</c:v>
                </c:pt>
                <c:pt idx="13">
                  <c:v>7174.7</c:v>
                </c:pt>
                <c:pt idx="14">
                  <c:v>8681.5</c:v>
                </c:pt>
                <c:pt idx="15">
                  <c:v>10116.9</c:v>
                </c:pt>
                <c:pt idx="16">
                  <c:v>11759.1</c:v>
                </c:pt>
                <c:pt idx="17">
                  <c:v>13409.9</c:v>
                </c:pt>
                <c:pt idx="18">
                  <c:v>15109.2</c:v>
                </c:pt>
                <c:pt idx="19">
                  <c:v>16974.400000000001</c:v>
                </c:pt>
                <c:pt idx="20">
                  <c:v>18876.900000000001</c:v>
                </c:pt>
                <c:pt idx="21">
                  <c:v>20830.900000000001</c:v>
                </c:pt>
                <c:pt idx="22">
                  <c:v>22967.5</c:v>
                </c:pt>
                <c:pt idx="23">
                  <c:v>25094</c:v>
                </c:pt>
                <c:pt idx="24">
                  <c:v>27309.5</c:v>
                </c:pt>
                <c:pt idx="25">
                  <c:v>29716.2</c:v>
                </c:pt>
                <c:pt idx="26">
                  <c:v>32072.1</c:v>
                </c:pt>
                <c:pt idx="27">
                  <c:v>34543</c:v>
                </c:pt>
                <c:pt idx="28">
                  <c:v>37171.300000000003</c:v>
                </c:pt>
                <c:pt idx="29">
                  <c:v>37816.699999999997</c:v>
                </c:pt>
                <c:pt idx="30">
                  <c:v>7160.5</c:v>
                </c:pt>
                <c:pt idx="31">
                  <c:v>8802.7999999999993</c:v>
                </c:pt>
                <c:pt idx="32">
                  <c:v>11636.4</c:v>
                </c:pt>
                <c:pt idx="33">
                  <c:v>14636.5</c:v>
                </c:pt>
                <c:pt idx="34">
                  <c:v>17753.5</c:v>
                </c:pt>
                <c:pt idx="35">
                  <c:v>21006.2</c:v>
                </c:pt>
                <c:pt idx="36">
                  <c:v>23947</c:v>
                </c:pt>
                <c:pt idx="37">
                  <c:v>27163.1</c:v>
                </c:pt>
                <c:pt idx="38">
                  <c:v>30580.799999999999</c:v>
                </c:pt>
                <c:pt idx="39">
                  <c:v>34125.9</c:v>
                </c:pt>
                <c:pt idx="40">
                  <c:v>36821.1</c:v>
                </c:pt>
                <c:pt idx="41">
                  <c:v>38493.4</c:v>
                </c:pt>
                <c:pt idx="42">
                  <c:v>11871.5</c:v>
                </c:pt>
                <c:pt idx="43">
                  <c:v>14100.7</c:v>
                </c:pt>
                <c:pt idx="44">
                  <c:v>18137.400000000001</c:v>
                </c:pt>
                <c:pt idx="45">
                  <c:v>22153.3</c:v>
                </c:pt>
                <c:pt idx="46">
                  <c:v>24145.3</c:v>
                </c:pt>
                <c:pt idx="47">
                  <c:v>28059.5</c:v>
                </c:pt>
                <c:pt idx="48">
                  <c:v>31709.4</c:v>
                </c:pt>
                <c:pt idx="49">
                  <c:v>35929.4</c:v>
                </c:pt>
                <c:pt idx="50">
                  <c:v>21439.200000000001</c:v>
                </c:pt>
                <c:pt idx="51">
                  <c:v>11925.3</c:v>
                </c:pt>
                <c:pt idx="52">
                  <c:v>15848.5</c:v>
                </c:pt>
                <c:pt idx="53">
                  <c:v>20320</c:v>
                </c:pt>
                <c:pt idx="54">
                  <c:v>24838</c:v>
                </c:pt>
                <c:pt idx="55">
                  <c:v>29484.400000000001</c:v>
                </c:pt>
                <c:pt idx="56">
                  <c:v>34525.599999999999</c:v>
                </c:pt>
                <c:pt idx="57">
                  <c:v>39501.9</c:v>
                </c:pt>
                <c:pt idx="58">
                  <c:v>40493.9</c:v>
                </c:pt>
                <c:pt idx="59">
                  <c:v>14885.6</c:v>
                </c:pt>
                <c:pt idx="60">
                  <c:v>19857.7</c:v>
                </c:pt>
                <c:pt idx="61">
                  <c:v>25086.9</c:v>
                </c:pt>
                <c:pt idx="62">
                  <c:v>30360.3</c:v>
                </c:pt>
                <c:pt idx="63">
                  <c:v>35965</c:v>
                </c:pt>
                <c:pt idx="64">
                  <c:v>41652</c:v>
                </c:pt>
                <c:pt idx="65">
                  <c:v>42560.5</c:v>
                </c:pt>
                <c:pt idx="66">
                  <c:v>18108.400000000001</c:v>
                </c:pt>
                <c:pt idx="67">
                  <c:v>23730.3</c:v>
                </c:pt>
                <c:pt idx="68">
                  <c:v>29473.7</c:v>
                </c:pt>
                <c:pt idx="69">
                  <c:v>35354.199999999997</c:v>
                </c:pt>
                <c:pt idx="70">
                  <c:v>41571.199999999997</c:v>
                </c:pt>
                <c:pt idx="71">
                  <c:v>44981.1</c:v>
                </c:pt>
                <c:pt idx="72">
                  <c:v>21192.1</c:v>
                </c:pt>
                <c:pt idx="73">
                  <c:v>27398.5</c:v>
                </c:pt>
                <c:pt idx="74">
                  <c:v>33723.4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43-4623-9CEB-A238AF569612}"/>
            </c:ext>
          </c:extLst>
        </c:ser>
        <c:ser>
          <c:idx val="1"/>
          <c:order val="1"/>
          <c:tx>
            <c:strRef>
              <c:f>Memory!$B$80</c:f>
              <c:strCache>
                <c:ptCount val="1"/>
                <c:pt idx="0">
                  <c:v>RSS Memory n=1000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Memory!$B$81:$B$155</c:f>
              <c:numCache>
                <c:formatCode>General</c:formatCode>
                <c:ptCount val="75"/>
                <c:pt idx="0">
                  <c:v>1480.6</c:v>
                </c:pt>
                <c:pt idx="1">
                  <c:v>1780.4</c:v>
                </c:pt>
                <c:pt idx="2">
                  <c:v>1947.4</c:v>
                </c:pt>
                <c:pt idx="3">
                  <c:v>2111.6999999999998</c:v>
                </c:pt>
                <c:pt idx="4">
                  <c:v>2240.9</c:v>
                </c:pt>
                <c:pt idx="5">
                  <c:v>2421.6999999999998</c:v>
                </c:pt>
                <c:pt idx="6">
                  <c:v>2617.6</c:v>
                </c:pt>
                <c:pt idx="7">
                  <c:v>4224.7</c:v>
                </c:pt>
                <c:pt idx="8">
                  <c:v>6028.7</c:v>
                </c:pt>
                <c:pt idx="9">
                  <c:v>7987.6</c:v>
                </c:pt>
                <c:pt idx="10">
                  <c:v>10130.799999999999</c:v>
                </c:pt>
                <c:pt idx="11">
                  <c:v>12466.8</c:v>
                </c:pt>
                <c:pt idx="12">
                  <c:v>14936.3</c:v>
                </c:pt>
                <c:pt idx="13">
                  <c:v>17628.3</c:v>
                </c:pt>
                <c:pt idx="14">
                  <c:v>20413.400000000001</c:v>
                </c:pt>
                <c:pt idx="15">
                  <c:v>23420.799999999999</c:v>
                </c:pt>
                <c:pt idx="16">
                  <c:v>26582.9</c:v>
                </c:pt>
                <c:pt idx="17">
                  <c:v>29838.6</c:v>
                </c:pt>
                <c:pt idx="18">
                  <c:v>33345.5</c:v>
                </c:pt>
                <c:pt idx="19">
                  <c:v>36992.300000000003</c:v>
                </c:pt>
                <c:pt idx="20">
                  <c:v>37581.300000000003</c:v>
                </c:pt>
                <c:pt idx="21">
                  <c:v>8451.4</c:v>
                </c:pt>
                <c:pt idx="22">
                  <c:v>12501.4</c:v>
                </c:pt>
                <c:pt idx="23">
                  <c:v>16911</c:v>
                </c:pt>
                <c:pt idx="24">
                  <c:v>21296.3</c:v>
                </c:pt>
                <c:pt idx="25">
                  <c:v>25947.7</c:v>
                </c:pt>
                <c:pt idx="26">
                  <c:v>30816.9</c:v>
                </c:pt>
                <c:pt idx="27">
                  <c:v>35727.199999999997</c:v>
                </c:pt>
                <c:pt idx="28">
                  <c:v>41015.300000000003</c:v>
                </c:pt>
                <c:pt idx="29">
                  <c:v>41437.599999999999</c:v>
                </c:pt>
                <c:pt idx="30">
                  <c:v>14888.9</c:v>
                </c:pt>
                <c:pt idx="31">
                  <c:v>20168.099999999999</c:v>
                </c:pt>
                <c:pt idx="32">
                  <c:v>26016.9</c:v>
                </c:pt>
                <c:pt idx="33">
                  <c:v>32076.6</c:v>
                </c:pt>
                <c:pt idx="34">
                  <c:v>38169.1</c:v>
                </c:pt>
                <c:pt idx="35">
                  <c:v>42183.1</c:v>
                </c:pt>
                <c:pt idx="36">
                  <c:v>19018.599999999999</c:v>
                </c:pt>
                <c:pt idx="37">
                  <c:v>25488.799999999999</c:v>
                </c:pt>
                <c:pt idx="38">
                  <c:v>30298.2</c:v>
                </c:pt>
                <c:pt idx="39">
                  <c:v>37164.1</c:v>
                </c:pt>
                <c:pt idx="40">
                  <c:v>41116.699999999997</c:v>
                </c:pt>
                <c:pt idx="41">
                  <c:v>20516.7</c:v>
                </c:pt>
                <c:pt idx="42">
                  <c:v>27784.3</c:v>
                </c:pt>
                <c:pt idx="43">
                  <c:v>35362.800000000003</c:v>
                </c:pt>
                <c:pt idx="44">
                  <c:v>43031.8</c:v>
                </c:pt>
                <c:pt idx="45">
                  <c:v>44645.9</c:v>
                </c:pt>
                <c:pt idx="46">
                  <c:v>24121</c:v>
                </c:pt>
                <c:pt idx="47">
                  <c:v>29753.5</c:v>
                </c:pt>
                <c:pt idx="48">
                  <c:v>37529.1</c:v>
                </c:pt>
                <c:pt idx="49">
                  <c:v>31207</c:v>
                </c:pt>
                <c:pt idx="50">
                  <c:v>22817.3</c:v>
                </c:pt>
                <c:pt idx="51">
                  <c:v>24782</c:v>
                </c:pt>
                <c:pt idx="52">
                  <c:v>30743.4</c:v>
                </c:pt>
                <c:pt idx="53">
                  <c:v>26358.9</c:v>
                </c:pt>
                <c:pt idx="54">
                  <c:v>31046.3</c:v>
                </c:pt>
                <c:pt idx="55">
                  <c:v>34818.699999999997</c:v>
                </c:pt>
                <c:pt idx="56">
                  <c:v>44115.1</c:v>
                </c:pt>
                <c:pt idx="57">
                  <c:v>26340.799999999999</c:v>
                </c:pt>
                <c:pt idx="58">
                  <c:v>21563.8</c:v>
                </c:pt>
                <c:pt idx="59">
                  <c:v>31863.7</c:v>
                </c:pt>
                <c:pt idx="60">
                  <c:v>37503.9</c:v>
                </c:pt>
                <c:pt idx="61">
                  <c:v>31767.200000000001</c:v>
                </c:pt>
                <c:pt idx="62">
                  <c:v>42319.1</c:v>
                </c:pt>
                <c:pt idx="63">
                  <c:v>48010.8</c:v>
                </c:pt>
                <c:pt idx="64">
                  <c:v>34031.199999999997</c:v>
                </c:pt>
                <c:pt idx="65">
                  <c:v>45315</c:v>
                </c:pt>
                <c:pt idx="66">
                  <c:v>48084.9</c:v>
                </c:pt>
                <c:pt idx="67">
                  <c:v>23911.200000000001</c:v>
                </c:pt>
                <c:pt idx="68">
                  <c:v>47377.7</c:v>
                </c:pt>
                <c:pt idx="69">
                  <c:v>50015.8</c:v>
                </c:pt>
                <c:pt idx="70">
                  <c:v>38471.1</c:v>
                </c:pt>
                <c:pt idx="71">
                  <c:v>50086.1</c:v>
                </c:pt>
                <c:pt idx="72">
                  <c:v>49106.3</c:v>
                </c:pt>
                <c:pt idx="73">
                  <c:v>34160.6</c:v>
                </c:pt>
                <c:pt idx="74">
                  <c:v>46715.7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43-4623-9CEB-A238AF569612}"/>
            </c:ext>
          </c:extLst>
        </c:ser>
        <c:ser>
          <c:idx val="2"/>
          <c:order val="2"/>
          <c:tx>
            <c:strRef>
              <c:f>Memory!$C$80</c:f>
              <c:strCache>
                <c:ptCount val="1"/>
                <c:pt idx="0">
                  <c:v>RSS Memory n=1500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Memory!$C$81:$C$155</c:f>
              <c:numCache>
                <c:formatCode>General</c:formatCode>
                <c:ptCount val="75"/>
                <c:pt idx="0">
                  <c:v>1595.6</c:v>
                </c:pt>
                <c:pt idx="1">
                  <c:v>1902.9</c:v>
                </c:pt>
                <c:pt idx="2">
                  <c:v>2067.6</c:v>
                </c:pt>
                <c:pt idx="3">
                  <c:v>2226</c:v>
                </c:pt>
                <c:pt idx="4">
                  <c:v>2370.4</c:v>
                </c:pt>
                <c:pt idx="5">
                  <c:v>3545.2</c:v>
                </c:pt>
                <c:pt idx="6">
                  <c:v>5647.3</c:v>
                </c:pt>
                <c:pt idx="7">
                  <c:v>8009.2</c:v>
                </c:pt>
                <c:pt idx="8">
                  <c:v>10619</c:v>
                </c:pt>
                <c:pt idx="9">
                  <c:v>13466.5</c:v>
                </c:pt>
                <c:pt idx="10">
                  <c:v>16516.3</c:v>
                </c:pt>
                <c:pt idx="11">
                  <c:v>19927.2</c:v>
                </c:pt>
                <c:pt idx="12">
                  <c:v>23584.3</c:v>
                </c:pt>
                <c:pt idx="13">
                  <c:v>27584.2</c:v>
                </c:pt>
                <c:pt idx="14">
                  <c:v>31690.6</c:v>
                </c:pt>
                <c:pt idx="15">
                  <c:v>36133</c:v>
                </c:pt>
                <c:pt idx="16">
                  <c:v>36917.599999999999</c:v>
                </c:pt>
                <c:pt idx="17">
                  <c:v>9718.2000000000007</c:v>
                </c:pt>
                <c:pt idx="18">
                  <c:v>14575.9</c:v>
                </c:pt>
                <c:pt idx="19">
                  <c:v>19879.599999999999</c:v>
                </c:pt>
                <c:pt idx="20">
                  <c:v>25321.5</c:v>
                </c:pt>
                <c:pt idx="21">
                  <c:v>29531.599999999999</c:v>
                </c:pt>
                <c:pt idx="22">
                  <c:v>35348.1</c:v>
                </c:pt>
                <c:pt idx="23">
                  <c:v>36680.300000000003</c:v>
                </c:pt>
                <c:pt idx="24">
                  <c:v>13360.3</c:v>
                </c:pt>
                <c:pt idx="25">
                  <c:v>20074.8</c:v>
                </c:pt>
                <c:pt idx="26">
                  <c:v>27062.7</c:v>
                </c:pt>
                <c:pt idx="27">
                  <c:v>34408</c:v>
                </c:pt>
                <c:pt idx="28">
                  <c:v>38684.9</c:v>
                </c:pt>
                <c:pt idx="29">
                  <c:v>17807.3</c:v>
                </c:pt>
                <c:pt idx="30">
                  <c:v>25644.6</c:v>
                </c:pt>
                <c:pt idx="31">
                  <c:v>32834.400000000001</c:v>
                </c:pt>
                <c:pt idx="32">
                  <c:v>36960.699999999997</c:v>
                </c:pt>
                <c:pt idx="33">
                  <c:v>19631.099999999999</c:v>
                </c:pt>
                <c:pt idx="34">
                  <c:v>27656.6</c:v>
                </c:pt>
                <c:pt idx="35">
                  <c:v>36726.699999999997</c:v>
                </c:pt>
                <c:pt idx="36">
                  <c:v>38252</c:v>
                </c:pt>
                <c:pt idx="37">
                  <c:v>22147</c:v>
                </c:pt>
                <c:pt idx="38">
                  <c:v>28546.5</c:v>
                </c:pt>
                <c:pt idx="39">
                  <c:v>37122.6</c:v>
                </c:pt>
                <c:pt idx="40">
                  <c:v>24619.9</c:v>
                </c:pt>
                <c:pt idx="41">
                  <c:v>35435.4</c:v>
                </c:pt>
                <c:pt idx="42">
                  <c:v>41357.5</c:v>
                </c:pt>
                <c:pt idx="43">
                  <c:v>27861</c:v>
                </c:pt>
                <c:pt idx="44">
                  <c:v>39387.4</c:v>
                </c:pt>
                <c:pt idx="45">
                  <c:v>42471</c:v>
                </c:pt>
                <c:pt idx="46">
                  <c:v>30320</c:v>
                </c:pt>
                <c:pt idx="47">
                  <c:v>42050.3</c:v>
                </c:pt>
                <c:pt idx="48">
                  <c:v>43614.1</c:v>
                </c:pt>
                <c:pt idx="49">
                  <c:v>32751.3</c:v>
                </c:pt>
                <c:pt idx="50">
                  <c:v>45635.3</c:v>
                </c:pt>
                <c:pt idx="51">
                  <c:v>46415.3</c:v>
                </c:pt>
                <c:pt idx="52">
                  <c:v>35994.400000000001</c:v>
                </c:pt>
                <c:pt idx="53">
                  <c:v>43257.7</c:v>
                </c:pt>
                <c:pt idx="54">
                  <c:v>38145.699999999997</c:v>
                </c:pt>
                <c:pt idx="55">
                  <c:v>45696.1</c:v>
                </c:pt>
                <c:pt idx="56">
                  <c:v>40547</c:v>
                </c:pt>
                <c:pt idx="57">
                  <c:v>48082.2</c:v>
                </c:pt>
                <c:pt idx="58">
                  <c:v>42536</c:v>
                </c:pt>
                <c:pt idx="59">
                  <c:v>50394.400000000001</c:v>
                </c:pt>
                <c:pt idx="60">
                  <c:v>44607.9</c:v>
                </c:pt>
                <c:pt idx="61">
                  <c:v>52534.2</c:v>
                </c:pt>
                <c:pt idx="62">
                  <c:v>46621</c:v>
                </c:pt>
                <c:pt idx="63">
                  <c:v>50669.1</c:v>
                </c:pt>
                <c:pt idx="64">
                  <c:v>49029.1</c:v>
                </c:pt>
                <c:pt idx="65">
                  <c:v>52163.7</c:v>
                </c:pt>
                <c:pt idx="66">
                  <c:v>50997</c:v>
                </c:pt>
                <c:pt idx="67">
                  <c:v>52041.2</c:v>
                </c:pt>
                <c:pt idx="68">
                  <c:v>50894</c:v>
                </c:pt>
                <c:pt idx="69">
                  <c:v>31007.7</c:v>
                </c:pt>
                <c:pt idx="70">
                  <c:v>33164.699999999997</c:v>
                </c:pt>
                <c:pt idx="71">
                  <c:v>16362.8</c:v>
                </c:pt>
                <c:pt idx="72">
                  <c:v>39087.9</c:v>
                </c:pt>
                <c:pt idx="73">
                  <c:v>30845.4</c:v>
                </c:pt>
                <c:pt idx="74">
                  <c:v>36333.4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43-4623-9CEB-A238AF569612}"/>
            </c:ext>
          </c:extLst>
        </c:ser>
        <c:ser>
          <c:idx val="3"/>
          <c:order val="3"/>
          <c:tx>
            <c:strRef>
              <c:f>Memory!$D$80</c:f>
              <c:strCache>
                <c:ptCount val="1"/>
                <c:pt idx="0">
                  <c:v>RSS Memory n=3000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Memory!$D$81:$D$155</c:f>
              <c:numCache>
                <c:formatCode>General</c:formatCode>
                <c:ptCount val="75"/>
                <c:pt idx="0">
                  <c:v>1900.2</c:v>
                </c:pt>
                <c:pt idx="1">
                  <c:v>2211</c:v>
                </c:pt>
                <c:pt idx="2">
                  <c:v>2403.6</c:v>
                </c:pt>
                <c:pt idx="3">
                  <c:v>4147</c:v>
                </c:pt>
                <c:pt idx="4">
                  <c:v>7144.9</c:v>
                </c:pt>
                <c:pt idx="5">
                  <c:v>10756.3</c:v>
                </c:pt>
                <c:pt idx="6">
                  <c:v>14842.1</c:v>
                </c:pt>
                <c:pt idx="7">
                  <c:v>19392.900000000001</c:v>
                </c:pt>
                <c:pt idx="8">
                  <c:v>24460.799999999999</c:v>
                </c:pt>
                <c:pt idx="9">
                  <c:v>29988.400000000001</c:v>
                </c:pt>
                <c:pt idx="10">
                  <c:v>35934.300000000003</c:v>
                </c:pt>
                <c:pt idx="11">
                  <c:v>36345.800000000003</c:v>
                </c:pt>
                <c:pt idx="12">
                  <c:v>13004.9</c:v>
                </c:pt>
                <c:pt idx="13">
                  <c:v>20442.599999999999</c:v>
                </c:pt>
                <c:pt idx="14">
                  <c:v>28365.3</c:v>
                </c:pt>
                <c:pt idx="15">
                  <c:v>36685.599999999999</c:v>
                </c:pt>
                <c:pt idx="16">
                  <c:v>37753.800000000003</c:v>
                </c:pt>
                <c:pt idx="17">
                  <c:v>19637.2</c:v>
                </c:pt>
                <c:pt idx="18">
                  <c:v>29414.2</c:v>
                </c:pt>
                <c:pt idx="19">
                  <c:v>35150.800000000003</c:v>
                </c:pt>
                <c:pt idx="20">
                  <c:v>23727.5</c:v>
                </c:pt>
                <c:pt idx="21">
                  <c:v>35049.599999999999</c:v>
                </c:pt>
                <c:pt idx="22">
                  <c:v>38907.1</c:v>
                </c:pt>
                <c:pt idx="23">
                  <c:v>28038.6</c:v>
                </c:pt>
                <c:pt idx="24">
                  <c:v>40731.1</c:v>
                </c:pt>
                <c:pt idx="25">
                  <c:v>41721.800000000003</c:v>
                </c:pt>
                <c:pt idx="26">
                  <c:v>32431.1</c:v>
                </c:pt>
                <c:pt idx="27">
                  <c:v>40032.699999999997</c:v>
                </c:pt>
                <c:pt idx="28">
                  <c:v>35241</c:v>
                </c:pt>
                <c:pt idx="29">
                  <c:v>43317</c:v>
                </c:pt>
                <c:pt idx="30">
                  <c:v>38030</c:v>
                </c:pt>
                <c:pt idx="31">
                  <c:v>41985.7</c:v>
                </c:pt>
                <c:pt idx="32">
                  <c:v>40981.699999999997</c:v>
                </c:pt>
                <c:pt idx="33">
                  <c:v>44237.599999999999</c:v>
                </c:pt>
                <c:pt idx="34">
                  <c:v>44041.2</c:v>
                </c:pt>
                <c:pt idx="35">
                  <c:v>46369.2</c:v>
                </c:pt>
                <c:pt idx="36">
                  <c:v>47170.5</c:v>
                </c:pt>
                <c:pt idx="37">
                  <c:v>48170.1</c:v>
                </c:pt>
                <c:pt idx="38">
                  <c:v>41138.699999999997</c:v>
                </c:pt>
                <c:pt idx="39">
                  <c:v>42281.4</c:v>
                </c:pt>
                <c:pt idx="40">
                  <c:v>43424.800000000003</c:v>
                </c:pt>
                <c:pt idx="41">
                  <c:v>44580.2</c:v>
                </c:pt>
                <c:pt idx="42">
                  <c:v>45695.6</c:v>
                </c:pt>
                <c:pt idx="43">
                  <c:v>46933.7</c:v>
                </c:pt>
                <c:pt idx="44">
                  <c:v>48284.2</c:v>
                </c:pt>
                <c:pt idx="45">
                  <c:v>49687.4</c:v>
                </c:pt>
                <c:pt idx="46">
                  <c:v>50829.2</c:v>
                </c:pt>
                <c:pt idx="47">
                  <c:v>51209.3</c:v>
                </c:pt>
                <c:pt idx="48">
                  <c:v>50609.8</c:v>
                </c:pt>
                <c:pt idx="49">
                  <c:v>50553.7</c:v>
                </c:pt>
                <c:pt idx="50">
                  <c:v>50610.5</c:v>
                </c:pt>
                <c:pt idx="51">
                  <c:v>43843.1</c:v>
                </c:pt>
                <c:pt idx="52">
                  <c:v>45101.9</c:v>
                </c:pt>
                <c:pt idx="53">
                  <c:v>46391.1</c:v>
                </c:pt>
                <c:pt idx="54">
                  <c:v>47488.4</c:v>
                </c:pt>
                <c:pt idx="55">
                  <c:v>48226.8</c:v>
                </c:pt>
                <c:pt idx="56">
                  <c:v>48970.7</c:v>
                </c:pt>
                <c:pt idx="57">
                  <c:v>50170.7</c:v>
                </c:pt>
                <c:pt idx="58">
                  <c:v>51622.2</c:v>
                </c:pt>
                <c:pt idx="59">
                  <c:v>51349.599999999999</c:v>
                </c:pt>
                <c:pt idx="60">
                  <c:v>51351.199999999997</c:v>
                </c:pt>
                <c:pt idx="61">
                  <c:v>51489.599999999999</c:v>
                </c:pt>
                <c:pt idx="62">
                  <c:v>51861.2</c:v>
                </c:pt>
                <c:pt idx="63">
                  <c:v>52343.199999999997</c:v>
                </c:pt>
                <c:pt idx="64">
                  <c:v>53570.9</c:v>
                </c:pt>
                <c:pt idx="65">
                  <c:v>53185.8</c:v>
                </c:pt>
                <c:pt idx="66">
                  <c:v>34400</c:v>
                </c:pt>
                <c:pt idx="67">
                  <c:v>35886.9</c:v>
                </c:pt>
                <c:pt idx="68">
                  <c:v>37366.9</c:v>
                </c:pt>
                <c:pt idx="69">
                  <c:v>54099.5</c:v>
                </c:pt>
                <c:pt idx="70">
                  <c:v>54038.400000000001</c:v>
                </c:pt>
                <c:pt idx="71">
                  <c:v>54386.3</c:v>
                </c:pt>
                <c:pt idx="72">
                  <c:v>54933.4</c:v>
                </c:pt>
                <c:pt idx="73">
                  <c:v>54255.1</c:v>
                </c:pt>
                <c:pt idx="74">
                  <c:v>41874.800000000003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43-4623-9CEB-A238AF569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493888"/>
        <c:axId val="693495808"/>
      </c:lineChart>
      <c:catAx>
        <c:axId val="6934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95808"/>
        <c:crosses val="autoZero"/>
        <c:auto val="1"/>
        <c:lblAlgn val="ctr"/>
        <c:lblOffset val="100"/>
        <c:noMultiLvlLbl val="0"/>
      </c:catAx>
      <c:valAx>
        <c:axId val="69349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</a:t>
            </a:r>
            <a:r>
              <a:rPr lang="en-US" baseline="0"/>
              <a:t> usage for Tucker training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Memory!$A$159</c:f>
              <c:strCache>
                <c:ptCount val="1"/>
                <c:pt idx="0">
                  <c:v>RSS Memory n=500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Memory!$A$160:$A$191</c:f>
              <c:numCache>
                <c:formatCode>General</c:formatCode>
                <c:ptCount val="32"/>
                <c:pt idx="0">
                  <c:v>1141.2</c:v>
                </c:pt>
                <c:pt idx="1">
                  <c:v>4258.3</c:v>
                </c:pt>
                <c:pt idx="2">
                  <c:v>1383.2</c:v>
                </c:pt>
                <c:pt idx="3">
                  <c:v>3148.7</c:v>
                </c:pt>
                <c:pt idx="4">
                  <c:v>800.2</c:v>
                </c:pt>
                <c:pt idx="5">
                  <c:v>3659</c:v>
                </c:pt>
                <c:pt idx="6">
                  <c:v>921.8</c:v>
                </c:pt>
                <c:pt idx="7">
                  <c:v>3879</c:v>
                </c:pt>
                <c:pt idx="8">
                  <c:v>1049.4000000000001</c:v>
                </c:pt>
                <c:pt idx="9">
                  <c:v>3956.1</c:v>
                </c:pt>
                <c:pt idx="10">
                  <c:v>1164.4000000000001</c:v>
                </c:pt>
                <c:pt idx="11">
                  <c:v>4326.8</c:v>
                </c:pt>
                <c:pt idx="12">
                  <c:v>1232.0999999999999</c:v>
                </c:pt>
                <c:pt idx="13">
                  <c:v>4473.3</c:v>
                </c:pt>
                <c:pt idx="14">
                  <c:v>1428.2</c:v>
                </c:pt>
                <c:pt idx="15">
                  <c:v>4649.8</c:v>
                </c:pt>
                <c:pt idx="16">
                  <c:v>1553.9</c:v>
                </c:pt>
                <c:pt idx="17">
                  <c:v>4730.8999999999996</c:v>
                </c:pt>
                <c:pt idx="18">
                  <c:v>1590.9</c:v>
                </c:pt>
                <c:pt idx="19">
                  <c:v>4841.3999999999996</c:v>
                </c:pt>
                <c:pt idx="20">
                  <c:v>1428.9</c:v>
                </c:pt>
                <c:pt idx="21">
                  <c:v>5110.7</c:v>
                </c:pt>
                <c:pt idx="22">
                  <c:v>1980.9</c:v>
                </c:pt>
                <c:pt idx="23">
                  <c:v>5108.7</c:v>
                </c:pt>
                <c:pt idx="24">
                  <c:v>1969.7</c:v>
                </c:pt>
                <c:pt idx="25">
                  <c:v>3127.7</c:v>
                </c:pt>
                <c:pt idx="26">
                  <c:v>692.1</c:v>
                </c:pt>
                <c:pt idx="27">
                  <c:v>3690.8</c:v>
                </c:pt>
                <c:pt idx="28">
                  <c:v>846</c:v>
                </c:pt>
                <c:pt idx="29">
                  <c:v>3953.8</c:v>
                </c:pt>
                <c:pt idx="30">
                  <c:v>2372.1999999999998</c:v>
                </c:pt>
                <c:pt idx="31">
                  <c:v>4552.8999999999996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AC-48FA-AD5E-55E072E247EE}"/>
            </c:ext>
          </c:extLst>
        </c:ser>
        <c:ser>
          <c:idx val="1"/>
          <c:order val="1"/>
          <c:tx>
            <c:strRef>
              <c:f>Memory!$B$159</c:f>
              <c:strCache>
                <c:ptCount val="1"/>
                <c:pt idx="0">
                  <c:v>RSS Memory n=1000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Memory!$B$160:$B$191</c:f>
              <c:numCache>
                <c:formatCode>General</c:formatCode>
                <c:ptCount val="32"/>
                <c:pt idx="0">
                  <c:v>1280.9000000000001</c:v>
                </c:pt>
                <c:pt idx="1">
                  <c:v>3449</c:v>
                </c:pt>
                <c:pt idx="2">
                  <c:v>700.6</c:v>
                </c:pt>
                <c:pt idx="3">
                  <c:v>4080.8</c:v>
                </c:pt>
                <c:pt idx="4">
                  <c:v>1011.4</c:v>
                </c:pt>
                <c:pt idx="5">
                  <c:v>4519.8999999999996</c:v>
                </c:pt>
                <c:pt idx="6">
                  <c:v>1283.2</c:v>
                </c:pt>
                <c:pt idx="7">
                  <c:v>4616.2</c:v>
                </c:pt>
                <c:pt idx="8">
                  <c:v>1349.4</c:v>
                </c:pt>
                <c:pt idx="9">
                  <c:v>4777.3999999999996</c:v>
                </c:pt>
                <c:pt idx="10">
                  <c:v>1511.8</c:v>
                </c:pt>
                <c:pt idx="11">
                  <c:v>5126.8999999999996</c:v>
                </c:pt>
                <c:pt idx="12">
                  <c:v>1958.8</c:v>
                </c:pt>
                <c:pt idx="13">
                  <c:v>5417</c:v>
                </c:pt>
                <c:pt idx="14">
                  <c:v>2266.6</c:v>
                </c:pt>
                <c:pt idx="15">
                  <c:v>5803</c:v>
                </c:pt>
                <c:pt idx="16">
                  <c:v>2709.8</c:v>
                </c:pt>
                <c:pt idx="17">
                  <c:v>5748.5</c:v>
                </c:pt>
                <c:pt idx="18">
                  <c:v>2752.6</c:v>
                </c:pt>
                <c:pt idx="19">
                  <c:v>6129.9</c:v>
                </c:pt>
                <c:pt idx="20">
                  <c:v>3099.1</c:v>
                </c:pt>
                <c:pt idx="21">
                  <c:v>6345.8</c:v>
                </c:pt>
                <c:pt idx="22">
                  <c:v>3392.6</c:v>
                </c:pt>
                <c:pt idx="23">
                  <c:v>6519.3</c:v>
                </c:pt>
                <c:pt idx="24">
                  <c:v>3652.5</c:v>
                </c:pt>
                <c:pt idx="25">
                  <c:v>6466.9</c:v>
                </c:pt>
                <c:pt idx="26">
                  <c:v>3290.5</c:v>
                </c:pt>
                <c:pt idx="27">
                  <c:v>6056.1</c:v>
                </c:pt>
                <c:pt idx="28">
                  <c:v>3424.3</c:v>
                </c:pt>
                <c:pt idx="29">
                  <c:v>5938.4</c:v>
                </c:pt>
                <c:pt idx="30">
                  <c:v>2249.8000000000002</c:v>
                </c:pt>
                <c:pt idx="31">
                  <c:v>6051.4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AC-48FA-AD5E-55E072E247EE}"/>
            </c:ext>
          </c:extLst>
        </c:ser>
        <c:ser>
          <c:idx val="2"/>
          <c:order val="2"/>
          <c:tx>
            <c:strRef>
              <c:f>Memory!$C$159</c:f>
              <c:strCache>
                <c:ptCount val="1"/>
                <c:pt idx="0">
                  <c:v>RSS Memory n=1500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Memory!$C$160:$C$191</c:f>
              <c:numCache>
                <c:formatCode>General</c:formatCode>
                <c:ptCount val="32"/>
                <c:pt idx="0">
                  <c:v>1382.2</c:v>
                </c:pt>
                <c:pt idx="1">
                  <c:v>4193.7</c:v>
                </c:pt>
                <c:pt idx="2">
                  <c:v>971.9</c:v>
                </c:pt>
                <c:pt idx="3">
                  <c:v>4210.2</c:v>
                </c:pt>
                <c:pt idx="4">
                  <c:v>1261.9000000000001</c:v>
                </c:pt>
                <c:pt idx="5">
                  <c:v>4588.3999999999996</c:v>
                </c:pt>
                <c:pt idx="6">
                  <c:v>1543.8</c:v>
                </c:pt>
                <c:pt idx="7">
                  <c:v>4909.8</c:v>
                </c:pt>
                <c:pt idx="8">
                  <c:v>1748.1</c:v>
                </c:pt>
                <c:pt idx="9">
                  <c:v>5042.2</c:v>
                </c:pt>
                <c:pt idx="10">
                  <c:v>2138.1</c:v>
                </c:pt>
                <c:pt idx="11">
                  <c:v>5305</c:v>
                </c:pt>
                <c:pt idx="12">
                  <c:v>533.9</c:v>
                </c:pt>
                <c:pt idx="13">
                  <c:v>3546.8</c:v>
                </c:pt>
                <c:pt idx="14">
                  <c:v>2710.6</c:v>
                </c:pt>
                <c:pt idx="15">
                  <c:v>4621.3</c:v>
                </c:pt>
                <c:pt idx="16">
                  <c:v>2965.9</c:v>
                </c:pt>
                <c:pt idx="17">
                  <c:v>6382.6</c:v>
                </c:pt>
                <c:pt idx="18">
                  <c:v>3574.5</c:v>
                </c:pt>
                <c:pt idx="19">
                  <c:v>6723.8</c:v>
                </c:pt>
                <c:pt idx="20">
                  <c:v>4046.6</c:v>
                </c:pt>
                <c:pt idx="21">
                  <c:v>6881.9</c:v>
                </c:pt>
                <c:pt idx="22">
                  <c:v>4407.3999999999996</c:v>
                </c:pt>
                <c:pt idx="23">
                  <c:v>6971.6</c:v>
                </c:pt>
                <c:pt idx="24">
                  <c:v>4408.3</c:v>
                </c:pt>
                <c:pt idx="25">
                  <c:v>6657.7</c:v>
                </c:pt>
                <c:pt idx="26">
                  <c:v>4301.6000000000004</c:v>
                </c:pt>
                <c:pt idx="27">
                  <c:v>7209.8</c:v>
                </c:pt>
                <c:pt idx="28">
                  <c:v>5463</c:v>
                </c:pt>
                <c:pt idx="29">
                  <c:v>6525.1</c:v>
                </c:pt>
                <c:pt idx="30">
                  <c:v>4345.3999999999996</c:v>
                </c:pt>
                <c:pt idx="31">
                  <c:v>8667.6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AC-48FA-AD5E-55E072E247EE}"/>
            </c:ext>
          </c:extLst>
        </c:ser>
        <c:ser>
          <c:idx val="3"/>
          <c:order val="3"/>
          <c:tx>
            <c:strRef>
              <c:f>Memory!$D$159</c:f>
              <c:strCache>
                <c:ptCount val="1"/>
                <c:pt idx="0">
                  <c:v>RSS Memory n=3000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Memory!$D$160:$D$191</c:f>
              <c:numCache>
                <c:formatCode>General</c:formatCode>
                <c:ptCount val="32"/>
                <c:pt idx="0">
                  <c:v>1708.2</c:v>
                </c:pt>
                <c:pt idx="1">
                  <c:v>4572.2</c:v>
                </c:pt>
                <c:pt idx="2">
                  <c:v>1813.3</c:v>
                </c:pt>
                <c:pt idx="3">
                  <c:v>5178.3</c:v>
                </c:pt>
                <c:pt idx="4">
                  <c:v>2329</c:v>
                </c:pt>
                <c:pt idx="5">
                  <c:v>5881.5</c:v>
                </c:pt>
                <c:pt idx="6">
                  <c:v>2771.5</c:v>
                </c:pt>
                <c:pt idx="7">
                  <c:v>6151.5</c:v>
                </c:pt>
                <c:pt idx="8">
                  <c:v>3542.6</c:v>
                </c:pt>
                <c:pt idx="9">
                  <c:v>6527.8</c:v>
                </c:pt>
                <c:pt idx="10">
                  <c:v>3502.7</c:v>
                </c:pt>
                <c:pt idx="11">
                  <c:v>6683.3</c:v>
                </c:pt>
                <c:pt idx="12">
                  <c:v>3840</c:v>
                </c:pt>
                <c:pt idx="13">
                  <c:v>6540</c:v>
                </c:pt>
                <c:pt idx="14">
                  <c:v>2065.1</c:v>
                </c:pt>
                <c:pt idx="15">
                  <c:v>7301.4</c:v>
                </c:pt>
                <c:pt idx="16">
                  <c:v>3098</c:v>
                </c:pt>
                <c:pt idx="17">
                  <c:v>6567.6</c:v>
                </c:pt>
                <c:pt idx="18">
                  <c:v>1709.3</c:v>
                </c:pt>
                <c:pt idx="19">
                  <c:v>4710.3999999999996</c:v>
                </c:pt>
                <c:pt idx="20">
                  <c:v>1450.4</c:v>
                </c:pt>
                <c:pt idx="21">
                  <c:v>8953.4</c:v>
                </c:pt>
                <c:pt idx="22">
                  <c:v>1473.1</c:v>
                </c:pt>
                <c:pt idx="23">
                  <c:v>8567.4</c:v>
                </c:pt>
                <c:pt idx="24">
                  <c:v>1495.2</c:v>
                </c:pt>
                <c:pt idx="25">
                  <c:v>5275.6</c:v>
                </c:pt>
                <c:pt idx="26">
                  <c:v>8879.7999999999993</c:v>
                </c:pt>
                <c:pt idx="27">
                  <c:v>8131.7</c:v>
                </c:pt>
                <c:pt idx="28">
                  <c:v>3480</c:v>
                </c:pt>
                <c:pt idx="29">
                  <c:v>8636.5</c:v>
                </c:pt>
                <c:pt idx="30">
                  <c:v>10498.6</c:v>
                </c:pt>
                <c:pt idx="31">
                  <c:v>10534.2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AC-48FA-AD5E-55E072E24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2388207"/>
        <c:axId val="922386287"/>
      </c:lineChart>
      <c:catAx>
        <c:axId val="92238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386287"/>
        <c:crosses val="autoZero"/>
        <c:auto val="1"/>
        <c:lblAlgn val="ctr"/>
        <c:lblOffset val="100"/>
        <c:noMultiLvlLbl val="0"/>
      </c:catAx>
      <c:valAx>
        <c:axId val="92238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38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Runtime for PCA</a:t>
            </a:r>
            <a:r>
              <a:rPr lang="en-US" baseline="0"/>
              <a:t> training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Runtime!$A$2</c:f>
              <c:strCache>
                <c:ptCount val="1"/>
                <c:pt idx="0">
                  <c:v>CPU Time n=500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Runtime!$A$3:$A$77</c:f>
              <c:numCache>
                <c:formatCode>General</c:formatCode>
                <c:ptCount val="75"/>
                <c:pt idx="0">
                  <c:v>104.16</c:v>
                </c:pt>
                <c:pt idx="1">
                  <c:v>111.09</c:v>
                </c:pt>
                <c:pt idx="2">
                  <c:v>113.64</c:v>
                </c:pt>
                <c:pt idx="3">
                  <c:v>120.08</c:v>
                </c:pt>
                <c:pt idx="4">
                  <c:v>116.08</c:v>
                </c:pt>
                <c:pt idx="5">
                  <c:v>115.45</c:v>
                </c:pt>
                <c:pt idx="6">
                  <c:v>116.89</c:v>
                </c:pt>
                <c:pt idx="7">
                  <c:v>121.73</c:v>
                </c:pt>
                <c:pt idx="8">
                  <c:v>116.45</c:v>
                </c:pt>
                <c:pt idx="9">
                  <c:v>116.73</c:v>
                </c:pt>
                <c:pt idx="10">
                  <c:v>124.66</c:v>
                </c:pt>
                <c:pt idx="11">
                  <c:v>118.02</c:v>
                </c:pt>
                <c:pt idx="12">
                  <c:v>126.03</c:v>
                </c:pt>
                <c:pt idx="13">
                  <c:v>121.05</c:v>
                </c:pt>
                <c:pt idx="14">
                  <c:v>128.84</c:v>
                </c:pt>
                <c:pt idx="15">
                  <c:v>124.22</c:v>
                </c:pt>
                <c:pt idx="16">
                  <c:v>123.58</c:v>
                </c:pt>
                <c:pt idx="17">
                  <c:v>133.86000000000001</c:v>
                </c:pt>
                <c:pt idx="18">
                  <c:v>122.56</c:v>
                </c:pt>
                <c:pt idx="19">
                  <c:v>139.72</c:v>
                </c:pt>
                <c:pt idx="20">
                  <c:v>132.5</c:v>
                </c:pt>
                <c:pt idx="21">
                  <c:v>123.2</c:v>
                </c:pt>
                <c:pt idx="22">
                  <c:v>582.36</c:v>
                </c:pt>
                <c:pt idx="23">
                  <c:v>540.22</c:v>
                </c:pt>
                <c:pt idx="24">
                  <c:v>386.17</c:v>
                </c:pt>
                <c:pt idx="25">
                  <c:v>124.39</c:v>
                </c:pt>
                <c:pt idx="26">
                  <c:v>134.47</c:v>
                </c:pt>
                <c:pt idx="27">
                  <c:v>127.58</c:v>
                </c:pt>
                <c:pt idx="28">
                  <c:v>127.7</c:v>
                </c:pt>
                <c:pt idx="29">
                  <c:v>127.83</c:v>
                </c:pt>
                <c:pt idx="30">
                  <c:v>133.25</c:v>
                </c:pt>
                <c:pt idx="31">
                  <c:v>170.81</c:v>
                </c:pt>
                <c:pt idx="32">
                  <c:v>156.56</c:v>
                </c:pt>
                <c:pt idx="33">
                  <c:v>149.36000000000001</c:v>
                </c:pt>
                <c:pt idx="34">
                  <c:v>142.80000000000001</c:v>
                </c:pt>
                <c:pt idx="35">
                  <c:v>135.38999999999999</c:v>
                </c:pt>
                <c:pt idx="36">
                  <c:v>160.78</c:v>
                </c:pt>
                <c:pt idx="37">
                  <c:v>188.06</c:v>
                </c:pt>
                <c:pt idx="38">
                  <c:v>171.12</c:v>
                </c:pt>
                <c:pt idx="39">
                  <c:v>149.38999999999999</c:v>
                </c:pt>
                <c:pt idx="40">
                  <c:v>139.44999999999999</c:v>
                </c:pt>
                <c:pt idx="41">
                  <c:v>146.19</c:v>
                </c:pt>
                <c:pt idx="42">
                  <c:v>188.77</c:v>
                </c:pt>
                <c:pt idx="43">
                  <c:v>209.5</c:v>
                </c:pt>
                <c:pt idx="44">
                  <c:v>201.31</c:v>
                </c:pt>
                <c:pt idx="45">
                  <c:v>182.03</c:v>
                </c:pt>
                <c:pt idx="46">
                  <c:v>173.44</c:v>
                </c:pt>
                <c:pt idx="47">
                  <c:v>172.67</c:v>
                </c:pt>
                <c:pt idx="48">
                  <c:v>206.52</c:v>
                </c:pt>
                <c:pt idx="49">
                  <c:v>244</c:v>
                </c:pt>
                <c:pt idx="50">
                  <c:v>221.47</c:v>
                </c:pt>
                <c:pt idx="51">
                  <c:v>214.83</c:v>
                </c:pt>
                <c:pt idx="52">
                  <c:v>153.44</c:v>
                </c:pt>
                <c:pt idx="53">
                  <c:v>163.59</c:v>
                </c:pt>
                <c:pt idx="54">
                  <c:v>164.09</c:v>
                </c:pt>
                <c:pt idx="55">
                  <c:v>195.14</c:v>
                </c:pt>
                <c:pt idx="56">
                  <c:v>266.8</c:v>
                </c:pt>
                <c:pt idx="57">
                  <c:v>250.09</c:v>
                </c:pt>
                <c:pt idx="58">
                  <c:v>225.75</c:v>
                </c:pt>
                <c:pt idx="59">
                  <c:v>204.41</c:v>
                </c:pt>
                <c:pt idx="60">
                  <c:v>570.03</c:v>
                </c:pt>
                <c:pt idx="61">
                  <c:v>818.87</c:v>
                </c:pt>
                <c:pt idx="62">
                  <c:v>299.44</c:v>
                </c:pt>
                <c:pt idx="63">
                  <c:v>261.25</c:v>
                </c:pt>
                <c:pt idx="64">
                  <c:v>222.19</c:v>
                </c:pt>
                <c:pt idx="65">
                  <c:v>231.12</c:v>
                </c:pt>
                <c:pt idx="66">
                  <c:v>216.36</c:v>
                </c:pt>
                <c:pt idx="67">
                  <c:v>201.2</c:v>
                </c:pt>
                <c:pt idx="68">
                  <c:v>196.37</c:v>
                </c:pt>
                <c:pt idx="69">
                  <c:v>312.92</c:v>
                </c:pt>
                <c:pt idx="70">
                  <c:v>363.09</c:v>
                </c:pt>
                <c:pt idx="71">
                  <c:v>346.84</c:v>
                </c:pt>
                <c:pt idx="72">
                  <c:v>326.69</c:v>
                </c:pt>
                <c:pt idx="73">
                  <c:v>306.55</c:v>
                </c:pt>
                <c:pt idx="74">
                  <c:v>240.91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B-489A-8A77-561703C62E41}"/>
            </c:ext>
          </c:extLst>
        </c:ser>
        <c:ser>
          <c:idx val="1"/>
          <c:order val="1"/>
          <c:tx>
            <c:strRef>
              <c:f>Runtime!$B$2</c:f>
              <c:strCache>
                <c:ptCount val="1"/>
                <c:pt idx="0">
                  <c:v>CPU Time n=1000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Runtime!$B$3:$B$77</c:f>
              <c:numCache>
                <c:formatCode>General</c:formatCode>
                <c:ptCount val="75"/>
                <c:pt idx="0">
                  <c:v>149.66</c:v>
                </c:pt>
                <c:pt idx="1">
                  <c:v>144.03</c:v>
                </c:pt>
                <c:pt idx="2">
                  <c:v>139.61000000000001</c:v>
                </c:pt>
                <c:pt idx="3">
                  <c:v>170.45</c:v>
                </c:pt>
                <c:pt idx="4">
                  <c:v>151.91</c:v>
                </c:pt>
                <c:pt idx="5">
                  <c:v>144.69999999999999</c:v>
                </c:pt>
                <c:pt idx="6">
                  <c:v>139.25</c:v>
                </c:pt>
                <c:pt idx="7">
                  <c:v>136.13999999999999</c:v>
                </c:pt>
                <c:pt idx="8">
                  <c:v>144.78</c:v>
                </c:pt>
                <c:pt idx="9">
                  <c:v>153.94999999999999</c:v>
                </c:pt>
                <c:pt idx="10">
                  <c:v>153.52000000000001</c:v>
                </c:pt>
                <c:pt idx="11">
                  <c:v>153.62</c:v>
                </c:pt>
                <c:pt idx="12">
                  <c:v>166.23</c:v>
                </c:pt>
                <c:pt idx="13">
                  <c:v>158.97</c:v>
                </c:pt>
                <c:pt idx="14">
                  <c:v>161.66999999999999</c:v>
                </c:pt>
                <c:pt idx="15">
                  <c:v>141.94999999999999</c:v>
                </c:pt>
                <c:pt idx="16">
                  <c:v>158.34</c:v>
                </c:pt>
                <c:pt idx="17">
                  <c:v>145.27000000000001</c:v>
                </c:pt>
                <c:pt idx="18">
                  <c:v>144.75</c:v>
                </c:pt>
                <c:pt idx="19">
                  <c:v>178</c:v>
                </c:pt>
                <c:pt idx="20">
                  <c:v>154.88999999999999</c:v>
                </c:pt>
                <c:pt idx="21">
                  <c:v>135.16999999999999</c:v>
                </c:pt>
                <c:pt idx="22">
                  <c:v>183.36</c:v>
                </c:pt>
                <c:pt idx="23">
                  <c:v>169.17</c:v>
                </c:pt>
                <c:pt idx="24">
                  <c:v>145.11000000000001</c:v>
                </c:pt>
                <c:pt idx="25">
                  <c:v>186.36</c:v>
                </c:pt>
                <c:pt idx="26">
                  <c:v>210.86</c:v>
                </c:pt>
                <c:pt idx="27">
                  <c:v>176.19</c:v>
                </c:pt>
                <c:pt idx="28">
                  <c:v>154.80000000000001</c:v>
                </c:pt>
                <c:pt idx="29">
                  <c:v>212.55</c:v>
                </c:pt>
                <c:pt idx="30">
                  <c:v>184.81</c:v>
                </c:pt>
                <c:pt idx="31">
                  <c:v>160.47999999999999</c:v>
                </c:pt>
                <c:pt idx="32">
                  <c:v>156.27000000000001</c:v>
                </c:pt>
                <c:pt idx="33">
                  <c:v>212.28</c:v>
                </c:pt>
                <c:pt idx="34">
                  <c:v>239.8</c:v>
                </c:pt>
                <c:pt idx="35">
                  <c:v>201.2</c:v>
                </c:pt>
                <c:pt idx="36">
                  <c:v>179.64</c:v>
                </c:pt>
                <c:pt idx="37">
                  <c:v>184.58</c:v>
                </c:pt>
                <c:pt idx="38">
                  <c:v>232.75</c:v>
                </c:pt>
                <c:pt idx="39">
                  <c:v>280.58</c:v>
                </c:pt>
                <c:pt idx="40">
                  <c:v>241.14</c:v>
                </c:pt>
                <c:pt idx="41">
                  <c:v>209.73</c:v>
                </c:pt>
                <c:pt idx="42">
                  <c:v>162.16</c:v>
                </c:pt>
                <c:pt idx="43">
                  <c:v>241.41</c:v>
                </c:pt>
                <c:pt idx="44">
                  <c:v>296.08999999999997</c:v>
                </c:pt>
                <c:pt idx="45">
                  <c:v>255.41</c:v>
                </c:pt>
                <c:pt idx="46">
                  <c:v>227.45</c:v>
                </c:pt>
                <c:pt idx="47">
                  <c:v>297.92</c:v>
                </c:pt>
                <c:pt idx="48">
                  <c:v>177.42</c:v>
                </c:pt>
                <c:pt idx="49">
                  <c:v>317.22000000000003</c:v>
                </c:pt>
                <c:pt idx="50">
                  <c:v>339.75</c:v>
                </c:pt>
                <c:pt idx="51">
                  <c:v>316.08999999999997</c:v>
                </c:pt>
                <c:pt idx="52">
                  <c:v>255.23</c:v>
                </c:pt>
                <c:pt idx="53">
                  <c:v>209.5</c:v>
                </c:pt>
                <c:pt idx="54">
                  <c:v>218</c:v>
                </c:pt>
                <c:pt idx="55">
                  <c:v>273.98</c:v>
                </c:pt>
                <c:pt idx="56">
                  <c:v>422.05</c:v>
                </c:pt>
                <c:pt idx="57">
                  <c:v>354.67</c:v>
                </c:pt>
                <c:pt idx="58">
                  <c:v>286.77</c:v>
                </c:pt>
                <c:pt idx="59">
                  <c:v>293.23</c:v>
                </c:pt>
                <c:pt idx="60">
                  <c:v>233.05</c:v>
                </c:pt>
                <c:pt idx="61">
                  <c:v>263.31</c:v>
                </c:pt>
                <c:pt idx="62">
                  <c:v>431.62</c:v>
                </c:pt>
                <c:pt idx="63">
                  <c:v>426.95</c:v>
                </c:pt>
                <c:pt idx="64">
                  <c:v>361.41</c:v>
                </c:pt>
                <c:pt idx="65">
                  <c:v>282.91000000000003</c:v>
                </c:pt>
                <c:pt idx="66">
                  <c:v>304.77</c:v>
                </c:pt>
                <c:pt idx="67">
                  <c:v>232.7</c:v>
                </c:pt>
                <c:pt idx="68">
                  <c:v>246.72</c:v>
                </c:pt>
                <c:pt idx="69">
                  <c:v>460.77</c:v>
                </c:pt>
                <c:pt idx="70">
                  <c:v>598.28</c:v>
                </c:pt>
                <c:pt idx="71">
                  <c:v>519.02</c:v>
                </c:pt>
                <c:pt idx="72">
                  <c:v>433.62</c:v>
                </c:pt>
                <c:pt idx="73">
                  <c:v>595.11</c:v>
                </c:pt>
                <c:pt idx="74">
                  <c:v>391.27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B-489A-8A77-561703C62E41}"/>
            </c:ext>
          </c:extLst>
        </c:ser>
        <c:ser>
          <c:idx val="2"/>
          <c:order val="2"/>
          <c:tx>
            <c:strRef>
              <c:f>Runtime!$C$2</c:f>
              <c:strCache>
                <c:ptCount val="1"/>
                <c:pt idx="0">
                  <c:v>CPU Time n=1500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Runtime!$C$3:$C$77</c:f>
              <c:numCache>
                <c:formatCode>General</c:formatCode>
                <c:ptCount val="75"/>
                <c:pt idx="0">
                  <c:v>145.97999999999999</c:v>
                </c:pt>
                <c:pt idx="1">
                  <c:v>156.16</c:v>
                </c:pt>
                <c:pt idx="2">
                  <c:v>158.19999999999999</c:v>
                </c:pt>
                <c:pt idx="3">
                  <c:v>164.39</c:v>
                </c:pt>
                <c:pt idx="4">
                  <c:v>161.63999999999999</c:v>
                </c:pt>
                <c:pt idx="5">
                  <c:v>159.84</c:v>
                </c:pt>
                <c:pt idx="6">
                  <c:v>171.77</c:v>
                </c:pt>
                <c:pt idx="7">
                  <c:v>178.52</c:v>
                </c:pt>
                <c:pt idx="8">
                  <c:v>182.11</c:v>
                </c:pt>
                <c:pt idx="9">
                  <c:v>179.47</c:v>
                </c:pt>
                <c:pt idx="10">
                  <c:v>179.2</c:v>
                </c:pt>
                <c:pt idx="11">
                  <c:v>208.08</c:v>
                </c:pt>
                <c:pt idx="12">
                  <c:v>202.88</c:v>
                </c:pt>
                <c:pt idx="13">
                  <c:v>197.59</c:v>
                </c:pt>
                <c:pt idx="14">
                  <c:v>199.17</c:v>
                </c:pt>
                <c:pt idx="15">
                  <c:v>213.73</c:v>
                </c:pt>
                <c:pt idx="16">
                  <c:v>222.31</c:v>
                </c:pt>
                <c:pt idx="17">
                  <c:v>220.61</c:v>
                </c:pt>
                <c:pt idx="18">
                  <c:v>204.56</c:v>
                </c:pt>
                <c:pt idx="19">
                  <c:v>244.52</c:v>
                </c:pt>
                <c:pt idx="20">
                  <c:v>272.66000000000003</c:v>
                </c:pt>
                <c:pt idx="21">
                  <c:v>210.08</c:v>
                </c:pt>
                <c:pt idx="22">
                  <c:v>277.33999999999997</c:v>
                </c:pt>
                <c:pt idx="23">
                  <c:v>261.27</c:v>
                </c:pt>
                <c:pt idx="24">
                  <c:v>217.41</c:v>
                </c:pt>
                <c:pt idx="25">
                  <c:v>247.11</c:v>
                </c:pt>
                <c:pt idx="26">
                  <c:v>326.33</c:v>
                </c:pt>
                <c:pt idx="27">
                  <c:v>267.52</c:v>
                </c:pt>
                <c:pt idx="28">
                  <c:v>226.97</c:v>
                </c:pt>
                <c:pt idx="29">
                  <c:v>292.97000000000003</c:v>
                </c:pt>
                <c:pt idx="30">
                  <c:v>290.11</c:v>
                </c:pt>
                <c:pt idx="31">
                  <c:v>235.77</c:v>
                </c:pt>
                <c:pt idx="32">
                  <c:v>224.69</c:v>
                </c:pt>
                <c:pt idx="33">
                  <c:v>276.05</c:v>
                </c:pt>
                <c:pt idx="34">
                  <c:v>378.11</c:v>
                </c:pt>
                <c:pt idx="35">
                  <c:v>316.95</c:v>
                </c:pt>
                <c:pt idx="36">
                  <c:v>302.33</c:v>
                </c:pt>
                <c:pt idx="37">
                  <c:v>254.62</c:v>
                </c:pt>
                <c:pt idx="38">
                  <c:v>442.22</c:v>
                </c:pt>
                <c:pt idx="39">
                  <c:v>398.3</c:v>
                </c:pt>
                <c:pt idx="40">
                  <c:v>367.48</c:v>
                </c:pt>
                <c:pt idx="41">
                  <c:v>427.94</c:v>
                </c:pt>
                <c:pt idx="42">
                  <c:v>312.58</c:v>
                </c:pt>
                <c:pt idx="43">
                  <c:v>532.88</c:v>
                </c:pt>
                <c:pt idx="44">
                  <c:v>485.47</c:v>
                </c:pt>
                <c:pt idx="45">
                  <c:v>593.37</c:v>
                </c:pt>
                <c:pt idx="46">
                  <c:v>365.12</c:v>
                </c:pt>
                <c:pt idx="47">
                  <c:v>439.69</c:v>
                </c:pt>
                <c:pt idx="48">
                  <c:v>546.47</c:v>
                </c:pt>
                <c:pt idx="49">
                  <c:v>507.28</c:v>
                </c:pt>
                <c:pt idx="50">
                  <c:v>477.03</c:v>
                </c:pt>
                <c:pt idx="51">
                  <c:v>378.62</c:v>
                </c:pt>
                <c:pt idx="52">
                  <c:v>373.95</c:v>
                </c:pt>
                <c:pt idx="53">
                  <c:v>725.5</c:v>
                </c:pt>
                <c:pt idx="54">
                  <c:v>753.48</c:v>
                </c:pt>
                <c:pt idx="55">
                  <c:v>651.58000000000004</c:v>
                </c:pt>
                <c:pt idx="56">
                  <c:v>589.66</c:v>
                </c:pt>
                <c:pt idx="57">
                  <c:v>434.91</c:v>
                </c:pt>
                <c:pt idx="58">
                  <c:v>1164.2</c:v>
                </c:pt>
                <c:pt idx="59">
                  <c:v>707.03</c:v>
                </c:pt>
                <c:pt idx="60">
                  <c:v>643.88</c:v>
                </c:pt>
                <c:pt idx="61">
                  <c:v>527.41999999999996</c:v>
                </c:pt>
                <c:pt idx="62">
                  <c:v>456.69</c:v>
                </c:pt>
                <c:pt idx="63">
                  <c:v>681.67</c:v>
                </c:pt>
                <c:pt idx="64">
                  <c:v>894.84</c:v>
                </c:pt>
                <c:pt idx="65">
                  <c:v>770.73</c:v>
                </c:pt>
                <c:pt idx="66">
                  <c:v>745.61</c:v>
                </c:pt>
                <c:pt idx="67">
                  <c:v>628.77</c:v>
                </c:pt>
                <c:pt idx="68">
                  <c:v>575.79999999999995</c:v>
                </c:pt>
                <c:pt idx="69">
                  <c:v>832.89</c:v>
                </c:pt>
                <c:pt idx="70">
                  <c:v>1372.66</c:v>
                </c:pt>
                <c:pt idx="71">
                  <c:v>1177.3</c:v>
                </c:pt>
                <c:pt idx="72">
                  <c:v>1036.8399999999999</c:v>
                </c:pt>
                <c:pt idx="73">
                  <c:v>962.31</c:v>
                </c:pt>
                <c:pt idx="74">
                  <c:v>1172.4100000000001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B-489A-8A77-561703C62E41}"/>
            </c:ext>
          </c:extLst>
        </c:ser>
        <c:ser>
          <c:idx val="3"/>
          <c:order val="3"/>
          <c:tx>
            <c:strRef>
              <c:f>Runtime!$D$2</c:f>
              <c:strCache>
                <c:ptCount val="1"/>
                <c:pt idx="0">
                  <c:v>CPU Time n=3000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Runtime!$D$3:$D$77</c:f>
              <c:numCache>
                <c:formatCode>General</c:formatCode>
                <c:ptCount val="75"/>
                <c:pt idx="0">
                  <c:v>193.17</c:v>
                </c:pt>
                <c:pt idx="1">
                  <c:v>210.89</c:v>
                </c:pt>
                <c:pt idx="2">
                  <c:v>222.95</c:v>
                </c:pt>
                <c:pt idx="3">
                  <c:v>227.02</c:v>
                </c:pt>
                <c:pt idx="4">
                  <c:v>244.64</c:v>
                </c:pt>
                <c:pt idx="5">
                  <c:v>267.88</c:v>
                </c:pt>
                <c:pt idx="6">
                  <c:v>246.89</c:v>
                </c:pt>
                <c:pt idx="7">
                  <c:v>262.5</c:v>
                </c:pt>
                <c:pt idx="8">
                  <c:v>270.88</c:v>
                </c:pt>
                <c:pt idx="9">
                  <c:v>270.39</c:v>
                </c:pt>
                <c:pt idx="10">
                  <c:v>271.52</c:v>
                </c:pt>
                <c:pt idx="11">
                  <c:v>288.83999999999997</c:v>
                </c:pt>
                <c:pt idx="12">
                  <c:v>318.97000000000003</c:v>
                </c:pt>
                <c:pt idx="13">
                  <c:v>304.64</c:v>
                </c:pt>
                <c:pt idx="14">
                  <c:v>336.17</c:v>
                </c:pt>
                <c:pt idx="15">
                  <c:v>318.89</c:v>
                </c:pt>
                <c:pt idx="16">
                  <c:v>350.39</c:v>
                </c:pt>
                <c:pt idx="17">
                  <c:v>321.92</c:v>
                </c:pt>
                <c:pt idx="18">
                  <c:v>369.52</c:v>
                </c:pt>
                <c:pt idx="19">
                  <c:v>366.5</c:v>
                </c:pt>
                <c:pt idx="20">
                  <c:v>324.48</c:v>
                </c:pt>
                <c:pt idx="21">
                  <c:v>381.16</c:v>
                </c:pt>
                <c:pt idx="22">
                  <c:v>367.61</c:v>
                </c:pt>
                <c:pt idx="23">
                  <c:v>363.81</c:v>
                </c:pt>
                <c:pt idx="24">
                  <c:v>345.09</c:v>
                </c:pt>
                <c:pt idx="25">
                  <c:v>552.61</c:v>
                </c:pt>
                <c:pt idx="26">
                  <c:v>376.45</c:v>
                </c:pt>
                <c:pt idx="27">
                  <c:v>365.31</c:v>
                </c:pt>
                <c:pt idx="28">
                  <c:v>390.38</c:v>
                </c:pt>
                <c:pt idx="29">
                  <c:v>523.27</c:v>
                </c:pt>
                <c:pt idx="30">
                  <c:v>454.47</c:v>
                </c:pt>
                <c:pt idx="31">
                  <c:v>385.69</c:v>
                </c:pt>
                <c:pt idx="32">
                  <c:v>416.94</c:v>
                </c:pt>
                <c:pt idx="33">
                  <c:v>568.69000000000005</c:v>
                </c:pt>
                <c:pt idx="34">
                  <c:v>507.31</c:v>
                </c:pt>
                <c:pt idx="35">
                  <c:v>464</c:v>
                </c:pt>
                <c:pt idx="36">
                  <c:v>405.47</c:v>
                </c:pt>
                <c:pt idx="37">
                  <c:v>483.84</c:v>
                </c:pt>
                <c:pt idx="38">
                  <c:v>708.38</c:v>
                </c:pt>
                <c:pt idx="39">
                  <c:v>621.48</c:v>
                </c:pt>
                <c:pt idx="40">
                  <c:v>521.52</c:v>
                </c:pt>
                <c:pt idx="41">
                  <c:v>456.83</c:v>
                </c:pt>
                <c:pt idx="42">
                  <c:v>629.09</c:v>
                </c:pt>
                <c:pt idx="43">
                  <c:v>680.3</c:v>
                </c:pt>
                <c:pt idx="44">
                  <c:v>773.73</c:v>
                </c:pt>
                <c:pt idx="45">
                  <c:v>506.72</c:v>
                </c:pt>
                <c:pt idx="46">
                  <c:v>474.5</c:v>
                </c:pt>
                <c:pt idx="47">
                  <c:v>468.41</c:v>
                </c:pt>
                <c:pt idx="48">
                  <c:v>845.3</c:v>
                </c:pt>
                <c:pt idx="49">
                  <c:v>903.91</c:v>
                </c:pt>
                <c:pt idx="50">
                  <c:v>846.06</c:v>
                </c:pt>
                <c:pt idx="51">
                  <c:v>726.62</c:v>
                </c:pt>
                <c:pt idx="52">
                  <c:v>649.38</c:v>
                </c:pt>
                <c:pt idx="53">
                  <c:v>859.67</c:v>
                </c:pt>
                <c:pt idx="54">
                  <c:v>946.66</c:v>
                </c:pt>
                <c:pt idx="55">
                  <c:v>938.23</c:v>
                </c:pt>
                <c:pt idx="56">
                  <c:v>772.92</c:v>
                </c:pt>
                <c:pt idx="57">
                  <c:v>668.87</c:v>
                </c:pt>
                <c:pt idx="58">
                  <c:v>588.55999999999995</c:v>
                </c:pt>
                <c:pt idx="59">
                  <c:v>736.16</c:v>
                </c:pt>
                <c:pt idx="60">
                  <c:v>1160.81</c:v>
                </c:pt>
                <c:pt idx="61">
                  <c:v>1042.42</c:v>
                </c:pt>
                <c:pt idx="62">
                  <c:v>986.72</c:v>
                </c:pt>
                <c:pt idx="63">
                  <c:v>892.8</c:v>
                </c:pt>
                <c:pt idx="64">
                  <c:v>771.5</c:v>
                </c:pt>
                <c:pt idx="65">
                  <c:v>880.37</c:v>
                </c:pt>
                <c:pt idx="66">
                  <c:v>1534.53</c:v>
                </c:pt>
                <c:pt idx="67">
                  <c:v>1435.19</c:v>
                </c:pt>
                <c:pt idx="68">
                  <c:v>1265.94</c:v>
                </c:pt>
                <c:pt idx="69">
                  <c:v>1115.19</c:v>
                </c:pt>
                <c:pt idx="70">
                  <c:v>1008.03</c:v>
                </c:pt>
                <c:pt idx="71">
                  <c:v>1470.06</c:v>
                </c:pt>
                <c:pt idx="72">
                  <c:v>1697.56</c:v>
                </c:pt>
                <c:pt idx="73">
                  <c:v>1445</c:v>
                </c:pt>
                <c:pt idx="74">
                  <c:v>1355.72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EB-489A-8A77-561703C62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8346463"/>
        <c:axId val="898354623"/>
      </c:lineChart>
      <c:catAx>
        <c:axId val="89834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354623"/>
        <c:crosses val="autoZero"/>
        <c:auto val="1"/>
        <c:lblAlgn val="ctr"/>
        <c:lblOffset val="100"/>
        <c:noMultiLvlLbl val="0"/>
      </c:catAx>
      <c:valAx>
        <c:axId val="89835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34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Runtime for CP training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Runtime!$A$81</c:f>
              <c:strCache>
                <c:ptCount val="1"/>
                <c:pt idx="0">
                  <c:v>CPU Time n=500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Runtime!$A$82:$A$156</c:f>
              <c:numCache>
                <c:formatCode>General</c:formatCode>
                <c:ptCount val="75"/>
                <c:pt idx="0">
                  <c:v>3.47</c:v>
                </c:pt>
                <c:pt idx="1">
                  <c:v>4.88</c:v>
                </c:pt>
                <c:pt idx="2">
                  <c:v>5.09</c:v>
                </c:pt>
                <c:pt idx="3">
                  <c:v>3.95</c:v>
                </c:pt>
                <c:pt idx="4">
                  <c:v>3.77</c:v>
                </c:pt>
                <c:pt idx="5">
                  <c:v>4.3099999999999996</c:v>
                </c:pt>
                <c:pt idx="6">
                  <c:v>6</c:v>
                </c:pt>
                <c:pt idx="7">
                  <c:v>4.7699999999999996</c:v>
                </c:pt>
                <c:pt idx="8">
                  <c:v>4.95</c:v>
                </c:pt>
                <c:pt idx="9">
                  <c:v>5.44</c:v>
                </c:pt>
                <c:pt idx="10">
                  <c:v>25.75</c:v>
                </c:pt>
                <c:pt idx="11">
                  <c:v>47.62</c:v>
                </c:pt>
                <c:pt idx="12">
                  <c:v>43.78</c:v>
                </c:pt>
                <c:pt idx="13">
                  <c:v>39.58</c:v>
                </c:pt>
                <c:pt idx="14">
                  <c:v>39.58</c:v>
                </c:pt>
                <c:pt idx="15">
                  <c:v>48.66</c:v>
                </c:pt>
                <c:pt idx="16">
                  <c:v>66.39</c:v>
                </c:pt>
                <c:pt idx="17">
                  <c:v>54.44</c:v>
                </c:pt>
                <c:pt idx="18">
                  <c:v>48.8</c:v>
                </c:pt>
                <c:pt idx="19">
                  <c:v>66.44</c:v>
                </c:pt>
                <c:pt idx="20">
                  <c:v>88.75</c:v>
                </c:pt>
                <c:pt idx="21">
                  <c:v>69.8</c:v>
                </c:pt>
                <c:pt idx="22">
                  <c:v>81.34</c:v>
                </c:pt>
                <c:pt idx="23">
                  <c:v>91.27</c:v>
                </c:pt>
                <c:pt idx="24">
                  <c:v>122.2</c:v>
                </c:pt>
                <c:pt idx="25">
                  <c:v>173.67</c:v>
                </c:pt>
                <c:pt idx="26">
                  <c:v>99.73</c:v>
                </c:pt>
                <c:pt idx="27">
                  <c:v>122.67</c:v>
                </c:pt>
                <c:pt idx="28">
                  <c:v>167.08</c:v>
                </c:pt>
                <c:pt idx="29">
                  <c:v>13.47</c:v>
                </c:pt>
                <c:pt idx="30">
                  <c:v>14.25</c:v>
                </c:pt>
                <c:pt idx="31">
                  <c:v>50.22</c:v>
                </c:pt>
                <c:pt idx="32">
                  <c:v>68.34</c:v>
                </c:pt>
                <c:pt idx="33">
                  <c:v>122.25</c:v>
                </c:pt>
                <c:pt idx="34">
                  <c:v>120.45</c:v>
                </c:pt>
                <c:pt idx="35">
                  <c:v>161.30000000000001</c:v>
                </c:pt>
                <c:pt idx="36">
                  <c:v>103</c:v>
                </c:pt>
                <c:pt idx="37">
                  <c:v>133.41</c:v>
                </c:pt>
                <c:pt idx="38">
                  <c:v>119.23</c:v>
                </c:pt>
                <c:pt idx="39">
                  <c:v>190.12</c:v>
                </c:pt>
                <c:pt idx="40">
                  <c:v>262.58</c:v>
                </c:pt>
                <c:pt idx="41">
                  <c:v>18.47</c:v>
                </c:pt>
                <c:pt idx="42">
                  <c:v>61.98</c:v>
                </c:pt>
                <c:pt idx="43">
                  <c:v>73.64</c:v>
                </c:pt>
                <c:pt idx="44">
                  <c:v>316.06</c:v>
                </c:pt>
                <c:pt idx="45">
                  <c:v>174.73</c:v>
                </c:pt>
                <c:pt idx="46">
                  <c:v>115.73</c:v>
                </c:pt>
                <c:pt idx="47">
                  <c:v>143.78</c:v>
                </c:pt>
                <c:pt idx="48">
                  <c:v>185.22</c:v>
                </c:pt>
                <c:pt idx="49">
                  <c:v>1116.53</c:v>
                </c:pt>
                <c:pt idx="50">
                  <c:v>43.08</c:v>
                </c:pt>
                <c:pt idx="51">
                  <c:v>107.02</c:v>
                </c:pt>
                <c:pt idx="52">
                  <c:v>204.44</c:v>
                </c:pt>
                <c:pt idx="53">
                  <c:v>173</c:v>
                </c:pt>
                <c:pt idx="54">
                  <c:v>196.97</c:v>
                </c:pt>
                <c:pt idx="55">
                  <c:v>151.09</c:v>
                </c:pt>
                <c:pt idx="56">
                  <c:v>306.52999999999997</c:v>
                </c:pt>
                <c:pt idx="57">
                  <c:v>220.94</c:v>
                </c:pt>
                <c:pt idx="58">
                  <c:v>41.97</c:v>
                </c:pt>
                <c:pt idx="59">
                  <c:v>513.64</c:v>
                </c:pt>
                <c:pt idx="60">
                  <c:v>87.11</c:v>
                </c:pt>
                <c:pt idx="61">
                  <c:v>247.38</c:v>
                </c:pt>
                <c:pt idx="62">
                  <c:v>184.05</c:v>
                </c:pt>
                <c:pt idx="63">
                  <c:v>404.08</c:v>
                </c:pt>
                <c:pt idx="64">
                  <c:v>526.83000000000004</c:v>
                </c:pt>
                <c:pt idx="65">
                  <c:v>110.83</c:v>
                </c:pt>
                <c:pt idx="66">
                  <c:v>78.42</c:v>
                </c:pt>
                <c:pt idx="67">
                  <c:v>263.64</c:v>
                </c:pt>
                <c:pt idx="68">
                  <c:v>207.03</c:v>
                </c:pt>
                <c:pt idx="69">
                  <c:v>285.66000000000003</c:v>
                </c:pt>
                <c:pt idx="70">
                  <c:v>511.81</c:v>
                </c:pt>
                <c:pt idx="71">
                  <c:v>116.48</c:v>
                </c:pt>
                <c:pt idx="72">
                  <c:v>109.64</c:v>
                </c:pt>
                <c:pt idx="73">
                  <c:v>214.81</c:v>
                </c:pt>
                <c:pt idx="74">
                  <c:v>210.22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2-482C-93EE-1E111A6A7E16}"/>
            </c:ext>
          </c:extLst>
        </c:ser>
        <c:ser>
          <c:idx val="1"/>
          <c:order val="1"/>
          <c:tx>
            <c:strRef>
              <c:f>Runtime!$B$81</c:f>
              <c:strCache>
                <c:ptCount val="1"/>
                <c:pt idx="0">
                  <c:v>CPU Time n=1000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Runtime!$B$82:$B$156</c:f>
              <c:numCache>
                <c:formatCode>General</c:formatCode>
                <c:ptCount val="75"/>
                <c:pt idx="0">
                  <c:v>4.0199999999999996</c:v>
                </c:pt>
                <c:pt idx="1">
                  <c:v>6.92</c:v>
                </c:pt>
                <c:pt idx="2">
                  <c:v>6.88</c:v>
                </c:pt>
                <c:pt idx="3">
                  <c:v>4.1900000000000004</c:v>
                </c:pt>
                <c:pt idx="4">
                  <c:v>7.16</c:v>
                </c:pt>
                <c:pt idx="5">
                  <c:v>6.31</c:v>
                </c:pt>
                <c:pt idx="6">
                  <c:v>5.77</c:v>
                </c:pt>
                <c:pt idx="7">
                  <c:v>132.66999999999999</c:v>
                </c:pt>
                <c:pt idx="8">
                  <c:v>175.78</c:v>
                </c:pt>
                <c:pt idx="9">
                  <c:v>175.22</c:v>
                </c:pt>
                <c:pt idx="10">
                  <c:v>149.72</c:v>
                </c:pt>
                <c:pt idx="11">
                  <c:v>176.73</c:v>
                </c:pt>
                <c:pt idx="12">
                  <c:v>197.22</c:v>
                </c:pt>
                <c:pt idx="13">
                  <c:v>255.05</c:v>
                </c:pt>
                <c:pt idx="14">
                  <c:v>197.23</c:v>
                </c:pt>
                <c:pt idx="15">
                  <c:v>270.31</c:v>
                </c:pt>
                <c:pt idx="16">
                  <c:v>249.67</c:v>
                </c:pt>
                <c:pt idx="17">
                  <c:v>241.59</c:v>
                </c:pt>
                <c:pt idx="18">
                  <c:v>293.52999999999997</c:v>
                </c:pt>
                <c:pt idx="19">
                  <c:v>265.56</c:v>
                </c:pt>
                <c:pt idx="20">
                  <c:v>13.97</c:v>
                </c:pt>
                <c:pt idx="21">
                  <c:v>106.66</c:v>
                </c:pt>
                <c:pt idx="22">
                  <c:v>76.17</c:v>
                </c:pt>
                <c:pt idx="23">
                  <c:v>373.06</c:v>
                </c:pt>
                <c:pt idx="24">
                  <c:v>411.3</c:v>
                </c:pt>
                <c:pt idx="25">
                  <c:v>433.52</c:v>
                </c:pt>
                <c:pt idx="26">
                  <c:v>530.05999999999995</c:v>
                </c:pt>
                <c:pt idx="27">
                  <c:v>396.52</c:v>
                </c:pt>
                <c:pt idx="28">
                  <c:v>545</c:v>
                </c:pt>
                <c:pt idx="29">
                  <c:v>17.39</c:v>
                </c:pt>
                <c:pt idx="30">
                  <c:v>331.97</c:v>
                </c:pt>
                <c:pt idx="31">
                  <c:v>112.16</c:v>
                </c:pt>
                <c:pt idx="32">
                  <c:v>529.91999999999996</c:v>
                </c:pt>
                <c:pt idx="33">
                  <c:v>502.09</c:v>
                </c:pt>
                <c:pt idx="34">
                  <c:v>515.95000000000005</c:v>
                </c:pt>
                <c:pt idx="35">
                  <c:v>96.14</c:v>
                </c:pt>
                <c:pt idx="36">
                  <c:v>314.11</c:v>
                </c:pt>
                <c:pt idx="37">
                  <c:v>551.77</c:v>
                </c:pt>
                <c:pt idx="38">
                  <c:v>491.03</c:v>
                </c:pt>
                <c:pt idx="39">
                  <c:v>328.09</c:v>
                </c:pt>
                <c:pt idx="40">
                  <c:v>115.22</c:v>
                </c:pt>
                <c:pt idx="41">
                  <c:v>237.7</c:v>
                </c:pt>
                <c:pt idx="42">
                  <c:v>409.64</c:v>
                </c:pt>
                <c:pt idx="43">
                  <c:v>476.98</c:v>
                </c:pt>
                <c:pt idx="44">
                  <c:v>460.73</c:v>
                </c:pt>
                <c:pt idx="45">
                  <c:v>118.67</c:v>
                </c:pt>
                <c:pt idx="46">
                  <c:v>352.06</c:v>
                </c:pt>
                <c:pt idx="47">
                  <c:v>706.73</c:v>
                </c:pt>
                <c:pt idx="48">
                  <c:v>704.8</c:v>
                </c:pt>
                <c:pt idx="49">
                  <c:v>152.91999999999999</c:v>
                </c:pt>
                <c:pt idx="50">
                  <c:v>449.34</c:v>
                </c:pt>
                <c:pt idx="51">
                  <c:v>589.03</c:v>
                </c:pt>
                <c:pt idx="52">
                  <c:v>712.33</c:v>
                </c:pt>
                <c:pt idx="53">
                  <c:v>341.19</c:v>
                </c:pt>
                <c:pt idx="54">
                  <c:v>350.02</c:v>
                </c:pt>
                <c:pt idx="55">
                  <c:v>958.38</c:v>
                </c:pt>
                <c:pt idx="56">
                  <c:v>1057.42</c:v>
                </c:pt>
                <c:pt idx="57">
                  <c:v>257.27999999999997</c:v>
                </c:pt>
                <c:pt idx="58">
                  <c:v>709.14</c:v>
                </c:pt>
                <c:pt idx="59">
                  <c:v>738.77</c:v>
                </c:pt>
                <c:pt idx="60">
                  <c:v>481.75</c:v>
                </c:pt>
                <c:pt idx="61">
                  <c:v>468.97</c:v>
                </c:pt>
                <c:pt idx="62">
                  <c:v>592.47</c:v>
                </c:pt>
                <c:pt idx="63">
                  <c:v>586.91</c:v>
                </c:pt>
                <c:pt idx="64">
                  <c:v>614.95000000000005</c:v>
                </c:pt>
                <c:pt idx="65">
                  <c:v>961.33</c:v>
                </c:pt>
                <c:pt idx="66">
                  <c:v>821.86</c:v>
                </c:pt>
                <c:pt idx="67">
                  <c:v>834.5</c:v>
                </c:pt>
                <c:pt idx="68">
                  <c:v>981.31</c:v>
                </c:pt>
                <c:pt idx="69">
                  <c:v>336.41</c:v>
                </c:pt>
                <c:pt idx="70">
                  <c:v>941.5</c:v>
                </c:pt>
                <c:pt idx="71">
                  <c:v>581.72</c:v>
                </c:pt>
                <c:pt idx="72">
                  <c:v>470.59</c:v>
                </c:pt>
                <c:pt idx="73">
                  <c:v>854.69</c:v>
                </c:pt>
                <c:pt idx="74">
                  <c:v>737.39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F2-482C-93EE-1E111A6A7E16}"/>
            </c:ext>
          </c:extLst>
        </c:ser>
        <c:ser>
          <c:idx val="2"/>
          <c:order val="2"/>
          <c:tx>
            <c:strRef>
              <c:f>Runtime!$C$81</c:f>
              <c:strCache>
                <c:ptCount val="1"/>
                <c:pt idx="0">
                  <c:v>CPU Time n=1500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Runtime!$C$82:$C$156</c:f>
              <c:numCache>
                <c:formatCode>General</c:formatCode>
                <c:ptCount val="75"/>
                <c:pt idx="0">
                  <c:v>72.72</c:v>
                </c:pt>
                <c:pt idx="1">
                  <c:v>88.48</c:v>
                </c:pt>
                <c:pt idx="2">
                  <c:v>87.38</c:v>
                </c:pt>
                <c:pt idx="3">
                  <c:v>101.81</c:v>
                </c:pt>
                <c:pt idx="4">
                  <c:v>100.11</c:v>
                </c:pt>
                <c:pt idx="5">
                  <c:v>105.58</c:v>
                </c:pt>
                <c:pt idx="6">
                  <c:v>140.47</c:v>
                </c:pt>
                <c:pt idx="7">
                  <c:v>153.80000000000001</c:v>
                </c:pt>
                <c:pt idx="8">
                  <c:v>179.98</c:v>
                </c:pt>
                <c:pt idx="9">
                  <c:v>182.83</c:v>
                </c:pt>
                <c:pt idx="10">
                  <c:v>147.94999999999999</c:v>
                </c:pt>
                <c:pt idx="11">
                  <c:v>178.03</c:v>
                </c:pt>
                <c:pt idx="12">
                  <c:v>166.67</c:v>
                </c:pt>
                <c:pt idx="13">
                  <c:v>230.47</c:v>
                </c:pt>
                <c:pt idx="14">
                  <c:v>136.94999999999999</c:v>
                </c:pt>
                <c:pt idx="15">
                  <c:v>183.56</c:v>
                </c:pt>
                <c:pt idx="16">
                  <c:v>214.38</c:v>
                </c:pt>
                <c:pt idx="17">
                  <c:v>185.25</c:v>
                </c:pt>
                <c:pt idx="18">
                  <c:v>227.91</c:v>
                </c:pt>
                <c:pt idx="19">
                  <c:v>226.02</c:v>
                </c:pt>
                <c:pt idx="20">
                  <c:v>288.16000000000003</c:v>
                </c:pt>
                <c:pt idx="21">
                  <c:v>506.23</c:v>
                </c:pt>
                <c:pt idx="22">
                  <c:v>369.16</c:v>
                </c:pt>
                <c:pt idx="23">
                  <c:v>295.69</c:v>
                </c:pt>
                <c:pt idx="24">
                  <c:v>399.11</c:v>
                </c:pt>
                <c:pt idx="25">
                  <c:v>420.05</c:v>
                </c:pt>
                <c:pt idx="26">
                  <c:v>430.44</c:v>
                </c:pt>
                <c:pt idx="27">
                  <c:v>337.94</c:v>
                </c:pt>
                <c:pt idx="28">
                  <c:v>373.97</c:v>
                </c:pt>
                <c:pt idx="29">
                  <c:v>443.59</c:v>
                </c:pt>
                <c:pt idx="30">
                  <c:v>420.91</c:v>
                </c:pt>
                <c:pt idx="31">
                  <c:v>406.05</c:v>
                </c:pt>
                <c:pt idx="32">
                  <c:v>487</c:v>
                </c:pt>
                <c:pt idx="33">
                  <c:v>410.77</c:v>
                </c:pt>
                <c:pt idx="34">
                  <c:v>454.25</c:v>
                </c:pt>
                <c:pt idx="35">
                  <c:v>455.92</c:v>
                </c:pt>
                <c:pt idx="36">
                  <c:v>362.44</c:v>
                </c:pt>
                <c:pt idx="37">
                  <c:v>371.53</c:v>
                </c:pt>
                <c:pt idx="38">
                  <c:v>344.81</c:v>
                </c:pt>
                <c:pt idx="39">
                  <c:v>336.59</c:v>
                </c:pt>
                <c:pt idx="40">
                  <c:v>306.58999999999997</c:v>
                </c:pt>
                <c:pt idx="41">
                  <c:v>449.59</c:v>
                </c:pt>
                <c:pt idx="42">
                  <c:v>375.55</c:v>
                </c:pt>
                <c:pt idx="43">
                  <c:v>310.94</c:v>
                </c:pt>
                <c:pt idx="44">
                  <c:v>297.83999999999997</c:v>
                </c:pt>
                <c:pt idx="45">
                  <c:v>574.45000000000005</c:v>
                </c:pt>
                <c:pt idx="46">
                  <c:v>457.55</c:v>
                </c:pt>
                <c:pt idx="47">
                  <c:v>355.31</c:v>
                </c:pt>
                <c:pt idx="48">
                  <c:v>501.91</c:v>
                </c:pt>
                <c:pt idx="49">
                  <c:v>1481.89</c:v>
                </c:pt>
                <c:pt idx="50">
                  <c:v>391.33</c:v>
                </c:pt>
                <c:pt idx="51">
                  <c:v>437.44</c:v>
                </c:pt>
                <c:pt idx="52">
                  <c:v>421.12</c:v>
                </c:pt>
                <c:pt idx="53">
                  <c:v>541.94000000000005</c:v>
                </c:pt>
                <c:pt idx="54">
                  <c:v>572.97</c:v>
                </c:pt>
                <c:pt idx="55">
                  <c:v>570.86</c:v>
                </c:pt>
                <c:pt idx="56">
                  <c:v>451.73</c:v>
                </c:pt>
                <c:pt idx="57">
                  <c:v>491.64</c:v>
                </c:pt>
                <c:pt idx="58">
                  <c:v>626.09</c:v>
                </c:pt>
                <c:pt idx="59">
                  <c:v>520.55999999999995</c:v>
                </c:pt>
                <c:pt idx="60">
                  <c:v>596.29999999999995</c:v>
                </c:pt>
                <c:pt idx="61">
                  <c:v>1528.73</c:v>
                </c:pt>
                <c:pt idx="62">
                  <c:v>543.44000000000005</c:v>
                </c:pt>
                <c:pt idx="63">
                  <c:v>642.72</c:v>
                </c:pt>
                <c:pt idx="64">
                  <c:v>633.20000000000005</c:v>
                </c:pt>
                <c:pt idx="65">
                  <c:v>704.91</c:v>
                </c:pt>
                <c:pt idx="66">
                  <c:v>781.42</c:v>
                </c:pt>
                <c:pt idx="67">
                  <c:v>604.34</c:v>
                </c:pt>
                <c:pt idx="68">
                  <c:v>837.22</c:v>
                </c:pt>
                <c:pt idx="69">
                  <c:v>663.8</c:v>
                </c:pt>
                <c:pt idx="70">
                  <c:v>773.31</c:v>
                </c:pt>
                <c:pt idx="71">
                  <c:v>816.41</c:v>
                </c:pt>
                <c:pt idx="72">
                  <c:v>858.52</c:v>
                </c:pt>
                <c:pt idx="73">
                  <c:v>1090.6199999999999</c:v>
                </c:pt>
                <c:pt idx="74">
                  <c:v>2088.33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F2-482C-93EE-1E111A6A7E16}"/>
            </c:ext>
          </c:extLst>
        </c:ser>
        <c:ser>
          <c:idx val="3"/>
          <c:order val="3"/>
          <c:tx>
            <c:strRef>
              <c:f>Runtime!$D$81</c:f>
              <c:strCache>
                <c:ptCount val="1"/>
                <c:pt idx="0">
                  <c:v>CPU Time n=3000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Runtime!$D$82:$D$156</c:f>
              <c:numCache>
                <c:formatCode>General</c:formatCode>
                <c:ptCount val="75"/>
                <c:pt idx="0">
                  <c:v>4.78</c:v>
                </c:pt>
                <c:pt idx="1">
                  <c:v>9.41</c:v>
                </c:pt>
                <c:pt idx="2">
                  <c:v>8.75</c:v>
                </c:pt>
                <c:pt idx="3">
                  <c:v>72.92</c:v>
                </c:pt>
                <c:pt idx="4">
                  <c:v>125.22</c:v>
                </c:pt>
                <c:pt idx="5">
                  <c:v>170.58</c:v>
                </c:pt>
                <c:pt idx="6">
                  <c:v>202.77</c:v>
                </c:pt>
                <c:pt idx="7">
                  <c:v>236.3</c:v>
                </c:pt>
                <c:pt idx="8">
                  <c:v>256.42</c:v>
                </c:pt>
                <c:pt idx="9">
                  <c:v>291.23</c:v>
                </c:pt>
                <c:pt idx="10">
                  <c:v>217.84</c:v>
                </c:pt>
                <c:pt idx="11">
                  <c:v>64.58</c:v>
                </c:pt>
                <c:pt idx="12">
                  <c:v>134.02000000000001</c:v>
                </c:pt>
                <c:pt idx="13">
                  <c:v>327.58</c:v>
                </c:pt>
                <c:pt idx="14">
                  <c:v>279.86</c:v>
                </c:pt>
                <c:pt idx="15">
                  <c:v>345.73</c:v>
                </c:pt>
                <c:pt idx="16">
                  <c:v>214.38</c:v>
                </c:pt>
                <c:pt idx="17">
                  <c:v>332.83</c:v>
                </c:pt>
                <c:pt idx="18">
                  <c:v>384</c:v>
                </c:pt>
                <c:pt idx="19">
                  <c:v>323.44</c:v>
                </c:pt>
                <c:pt idx="20">
                  <c:v>345.03</c:v>
                </c:pt>
                <c:pt idx="21">
                  <c:v>398.11</c:v>
                </c:pt>
                <c:pt idx="22">
                  <c:v>283.45</c:v>
                </c:pt>
                <c:pt idx="23">
                  <c:v>460.11</c:v>
                </c:pt>
                <c:pt idx="24">
                  <c:v>550.38</c:v>
                </c:pt>
                <c:pt idx="25">
                  <c:v>298.72000000000003</c:v>
                </c:pt>
                <c:pt idx="26">
                  <c:v>654.72</c:v>
                </c:pt>
                <c:pt idx="27">
                  <c:v>264.83999999999997</c:v>
                </c:pt>
                <c:pt idx="28">
                  <c:v>515.12</c:v>
                </c:pt>
                <c:pt idx="29">
                  <c:v>385.89</c:v>
                </c:pt>
                <c:pt idx="30">
                  <c:v>378.98</c:v>
                </c:pt>
                <c:pt idx="31">
                  <c:v>386.58</c:v>
                </c:pt>
                <c:pt idx="32">
                  <c:v>495.11</c:v>
                </c:pt>
                <c:pt idx="33">
                  <c:v>338.02</c:v>
                </c:pt>
                <c:pt idx="34">
                  <c:v>629.73</c:v>
                </c:pt>
                <c:pt idx="35">
                  <c:v>476.62</c:v>
                </c:pt>
                <c:pt idx="36">
                  <c:v>793.33</c:v>
                </c:pt>
                <c:pt idx="37">
                  <c:v>464.55</c:v>
                </c:pt>
                <c:pt idx="38">
                  <c:v>299.14</c:v>
                </c:pt>
                <c:pt idx="39">
                  <c:v>412.66</c:v>
                </c:pt>
                <c:pt idx="40">
                  <c:v>391.34</c:v>
                </c:pt>
                <c:pt idx="41">
                  <c:v>337.86</c:v>
                </c:pt>
                <c:pt idx="42">
                  <c:v>515.39</c:v>
                </c:pt>
                <c:pt idx="43">
                  <c:v>464.67</c:v>
                </c:pt>
                <c:pt idx="44">
                  <c:v>428.59</c:v>
                </c:pt>
                <c:pt idx="45">
                  <c:v>425.11</c:v>
                </c:pt>
                <c:pt idx="46">
                  <c:v>450.94</c:v>
                </c:pt>
                <c:pt idx="47">
                  <c:v>493.05</c:v>
                </c:pt>
                <c:pt idx="48">
                  <c:v>651.91999999999996</c:v>
                </c:pt>
                <c:pt idx="49">
                  <c:v>510.41</c:v>
                </c:pt>
                <c:pt idx="50">
                  <c:v>716.39</c:v>
                </c:pt>
                <c:pt idx="51">
                  <c:v>594.5</c:v>
                </c:pt>
                <c:pt idx="52">
                  <c:v>546.11</c:v>
                </c:pt>
                <c:pt idx="53">
                  <c:v>839.2</c:v>
                </c:pt>
                <c:pt idx="54">
                  <c:v>751.42</c:v>
                </c:pt>
                <c:pt idx="55">
                  <c:v>513.44000000000005</c:v>
                </c:pt>
                <c:pt idx="56">
                  <c:v>682.53</c:v>
                </c:pt>
                <c:pt idx="57">
                  <c:v>626.16</c:v>
                </c:pt>
                <c:pt idx="58">
                  <c:v>664.34</c:v>
                </c:pt>
                <c:pt idx="59">
                  <c:v>681.97</c:v>
                </c:pt>
                <c:pt idx="60">
                  <c:v>687.75</c:v>
                </c:pt>
                <c:pt idx="61">
                  <c:v>750.34</c:v>
                </c:pt>
                <c:pt idx="62">
                  <c:v>709.89</c:v>
                </c:pt>
                <c:pt idx="63">
                  <c:v>1542.02</c:v>
                </c:pt>
                <c:pt idx="64">
                  <c:v>918.02</c:v>
                </c:pt>
                <c:pt idx="65">
                  <c:v>1256.5899999999999</c:v>
                </c:pt>
                <c:pt idx="66">
                  <c:v>1105.6400000000001</c:v>
                </c:pt>
                <c:pt idx="67">
                  <c:v>1452.16</c:v>
                </c:pt>
                <c:pt idx="68">
                  <c:v>1163.8</c:v>
                </c:pt>
                <c:pt idx="69">
                  <c:v>1775.14</c:v>
                </c:pt>
                <c:pt idx="70">
                  <c:v>1327.52</c:v>
                </c:pt>
                <c:pt idx="71">
                  <c:v>1473.11</c:v>
                </c:pt>
                <c:pt idx="72">
                  <c:v>1416.92</c:v>
                </c:pt>
                <c:pt idx="73">
                  <c:v>1648.84</c:v>
                </c:pt>
                <c:pt idx="74">
                  <c:v>2363.11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F2-482C-93EE-1E111A6A7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422527"/>
        <c:axId val="901432127"/>
      </c:lineChart>
      <c:catAx>
        <c:axId val="90142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432127"/>
        <c:crosses val="autoZero"/>
        <c:auto val="1"/>
        <c:lblAlgn val="ctr"/>
        <c:lblOffset val="100"/>
        <c:noMultiLvlLbl val="0"/>
      </c:catAx>
      <c:valAx>
        <c:axId val="90143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42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Runtime for Tucker training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Runtime!$A$160</c:f>
              <c:strCache>
                <c:ptCount val="1"/>
                <c:pt idx="0">
                  <c:v>CPU Time n=500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Runtime!$A$161:$A$192</c:f>
              <c:numCache>
                <c:formatCode>General</c:formatCode>
                <c:ptCount val="32"/>
                <c:pt idx="0">
                  <c:v>27.33</c:v>
                </c:pt>
                <c:pt idx="1">
                  <c:v>2164.92</c:v>
                </c:pt>
                <c:pt idx="2">
                  <c:v>35.119999999999997</c:v>
                </c:pt>
                <c:pt idx="3">
                  <c:v>2196.9499999999998</c:v>
                </c:pt>
                <c:pt idx="4">
                  <c:v>35.340000000000003</c:v>
                </c:pt>
                <c:pt idx="5">
                  <c:v>2142.09</c:v>
                </c:pt>
                <c:pt idx="6">
                  <c:v>43.58</c:v>
                </c:pt>
                <c:pt idx="7">
                  <c:v>2202.81</c:v>
                </c:pt>
                <c:pt idx="8">
                  <c:v>33.06</c:v>
                </c:pt>
                <c:pt idx="9">
                  <c:v>2161.06</c:v>
                </c:pt>
                <c:pt idx="10">
                  <c:v>37.840000000000003</c:v>
                </c:pt>
                <c:pt idx="11">
                  <c:v>2257.7800000000002</c:v>
                </c:pt>
                <c:pt idx="12">
                  <c:v>42.58</c:v>
                </c:pt>
                <c:pt idx="13">
                  <c:v>2295.36</c:v>
                </c:pt>
                <c:pt idx="14">
                  <c:v>49.86</c:v>
                </c:pt>
                <c:pt idx="15">
                  <c:v>2307.84</c:v>
                </c:pt>
                <c:pt idx="16">
                  <c:v>36.909999999999997</c:v>
                </c:pt>
                <c:pt idx="17">
                  <c:v>2296.56</c:v>
                </c:pt>
                <c:pt idx="18">
                  <c:v>43.34</c:v>
                </c:pt>
                <c:pt idx="19">
                  <c:v>2316.14</c:v>
                </c:pt>
                <c:pt idx="20">
                  <c:v>40.11</c:v>
                </c:pt>
                <c:pt idx="21">
                  <c:v>2415.44</c:v>
                </c:pt>
                <c:pt idx="22">
                  <c:v>51.89</c:v>
                </c:pt>
                <c:pt idx="23">
                  <c:v>2876.95</c:v>
                </c:pt>
                <c:pt idx="24">
                  <c:v>40.380000000000003</c:v>
                </c:pt>
                <c:pt idx="25">
                  <c:v>2362.02</c:v>
                </c:pt>
                <c:pt idx="26">
                  <c:v>44.22</c:v>
                </c:pt>
                <c:pt idx="27">
                  <c:v>2319.14</c:v>
                </c:pt>
                <c:pt idx="28">
                  <c:v>51.8</c:v>
                </c:pt>
                <c:pt idx="29">
                  <c:v>2878.89</c:v>
                </c:pt>
                <c:pt idx="30">
                  <c:v>67.86</c:v>
                </c:pt>
                <c:pt idx="31">
                  <c:v>4557.0600000000004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0-4AC3-8C1E-441BC2A11FB2}"/>
            </c:ext>
          </c:extLst>
        </c:ser>
        <c:ser>
          <c:idx val="1"/>
          <c:order val="1"/>
          <c:tx>
            <c:strRef>
              <c:f>Runtime!$B$160</c:f>
              <c:strCache>
                <c:ptCount val="1"/>
                <c:pt idx="0">
                  <c:v>CPU Time n=1000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Runtime!$B$161:$B$192</c:f>
              <c:numCache>
                <c:formatCode>General</c:formatCode>
                <c:ptCount val="32"/>
                <c:pt idx="0">
                  <c:v>54.83</c:v>
                </c:pt>
                <c:pt idx="1">
                  <c:v>3903.53</c:v>
                </c:pt>
                <c:pt idx="2">
                  <c:v>67.17</c:v>
                </c:pt>
                <c:pt idx="3">
                  <c:v>3926.33</c:v>
                </c:pt>
                <c:pt idx="4">
                  <c:v>73.94</c:v>
                </c:pt>
                <c:pt idx="5">
                  <c:v>4203.87</c:v>
                </c:pt>
                <c:pt idx="6">
                  <c:v>86.95</c:v>
                </c:pt>
                <c:pt idx="7">
                  <c:v>3988.14</c:v>
                </c:pt>
                <c:pt idx="8">
                  <c:v>64.36</c:v>
                </c:pt>
                <c:pt idx="9">
                  <c:v>4069.28</c:v>
                </c:pt>
                <c:pt idx="10">
                  <c:v>73.53</c:v>
                </c:pt>
                <c:pt idx="11">
                  <c:v>4180.5200000000004</c:v>
                </c:pt>
                <c:pt idx="12">
                  <c:v>167.86</c:v>
                </c:pt>
                <c:pt idx="13">
                  <c:v>4232.5</c:v>
                </c:pt>
                <c:pt idx="14">
                  <c:v>300.55</c:v>
                </c:pt>
                <c:pt idx="15">
                  <c:v>4398.92</c:v>
                </c:pt>
                <c:pt idx="16">
                  <c:v>129.38999999999999</c:v>
                </c:pt>
                <c:pt idx="17">
                  <c:v>4235.8100000000004</c:v>
                </c:pt>
                <c:pt idx="18">
                  <c:v>75.67</c:v>
                </c:pt>
                <c:pt idx="19">
                  <c:v>4765.83</c:v>
                </c:pt>
                <c:pt idx="20">
                  <c:v>86.17</c:v>
                </c:pt>
                <c:pt idx="21">
                  <c:v>4402.92</c:v>
                </c:pt>
                <c:pt idx="22">
                  <c:v>115.69</c:v>
                </c:pt>
                <c:pt idx="23">
                  <c:v>6036.11</c:v>
                </c:pt>
                <c:pt idx="24">
                  <c:v>81.45</c:v>
                </c:pt>
                <c:pt idx="25">
                  <c:v>4156.12</c:v>
                </c:pt>
                <c:pt idx="26">
                  <c:v>93.08</c:v>
                </c:pt>
                <c:pt idx="27">
                  <c:v>4443.2700000000004</c:v>
                </c:pt>
                <c:pt idx="28">
                  <c:v>107.12</c:v>
                </c:pt>
                <c:pt idx="29">
                  <c:v>4944.8900000000003</c:v>
                </c:pt>
                <c:pt idx="30">
                  <c:v>157.16999999999999</c:v>
                </c:pt>
                <c:pt idx="31">
                  <c:v>8475.5300000000007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F0-4AC3-8C1E-441BC2A11FB2}"/>
            </c:ext>
          </c:extLst>
        </c:ser>
        <c:ser>
          <c:idx val="2"/>
          <c:order val="2"/>
          <c:tx>
            <c:strRef>
              <c:f>Runtime!$C$160</c:f>
              <c:strCache>
                <c:ptCount val="1"/>
                <c:pt idx="0">
                  <c:v>CPU Time n=1500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Runtime!$C$161:$C$192</c:f>
              <c:numCache>
                <c:formatCode>General</c:formatCode>
                <c:ptCount val="32"/>
                <c:pt idx="0">
                  <c:v>71.94</c:v>
                </c:pt>
                <c:pt idx="1">
                  <c:v>5167.72</c:v>
                </c:pt>
                <c:pt idx="2">
                  <c:v>90.23</c:v>
                </c:pt>
                <c:pt idx="3">
                  <c:v>5240.3900000000003</c:v>
                </c:pt>
                <c:pt idx="4">
                  <c:v>97.78</c:v>
                </c:pt>
                <c:pt idx="5">
                  <c:v>5353.7</c:v>
                </c:pt>
                <c:pt idx="6">
                  <c:v>112.45</c:v>
                </c:pt>
                <c:pt idx="7">
                  <c:v>5397.95</c:v>
                </c:pt>
                <c:pt idx="8">
                  <c:v>80.81</c:v>
                </c:pt>
                <c:pt idx="9">
                  <c:v>5518.22</c:v>
                </c:pt>
                <c:pt idx="10">
                  <c:v>97.67</c:v>
                </c:pt>
                <c:pt idx="11">
                  <c:v>5523.72</c:v>
                </c:pt>
                <c:pt idx="12">
                  <c:v>119.66</c:v>
                </c:pt>
                <c:pt idx="13">
                  <c:v>5640.66</c:v>
                </c:pt>
                <c:pt idx="14">
                  <c:v>132.83000000000001</c:v>
                </c:pt>
                <c:pt idx="15">
                  <c:v>5746.58</c:v>
                </c:pt>
                <c:pt idx="16">
                  <c:v>87.5</c:v>
                </c:pt>
                <c:pt idx="17">
                  <c:v>5531.94</c:v>
                </c:pt>
                <c:pt idx="18">
                  <c:v>107.25</c:v>
                </c:pt>
                <c:pt idx="19">
                  <c:v>5504.64</c:v>
                </c:pt>
                <c:pt idx="20">
                  <c:v>526.97</c:v>
                </c:pt>
                <c:pt idx="21">
                  <c:v>5755.19</c:v>
                </c:pt>
                <c:pt idx="22">
                  <c:v>147.38999999999999</c:v>
                </c:pt>
                <c:pt idx="23">
                  <c:v>6919.45</c:v>
                </c:pt>
                <c:pt idx="24">
                  <c:v>111.34</c:v>
                </c:pt>
                <c:pt idx="25">
                  <c:v>5615.28</c:v>
                </c:pt>
                <c:pt idx="26">
                  <c:v>127.27</c:v>
                </c:pt>
                <c:pt idx="27">
                  <c:v>5809.34</c:v>
                </c:pt>
                <c:pt idx="28">
                  <c:v>140.66999999999999</c:v>
                </c:pt>
                <c:pt idx="29">
                  <c:v>6873.41</c:v>
                </c:pt>
                <c:pt idx="30">
                  <c:v>257.25</c:v>
                </c:pt>
                <c:pt idx="31">
                  <c:v>11063.33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F0-4AC3-8C1E-441BC2A11FB2}"/>
            </c:ext>
          </c:extLst>
        </c:ser>
        <c:ser>
          <c:idx val="3"/>
          <c:order val="3"/>
          <c:tx>
            <c:strRef>
              <c:f>Runtime!$D$160</c:f>
              <c:strCache>
                <c:ptCount val="1"/>
                <c:pt idx="0">
                  <c:v>CPU Time n=3000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Runtime!$D$161:$D$192</c:f>
              <c:numCache>
                <c:formatCode>General</c:formatCode>
                <c:ptCount val="32"/>
                <c:pt idx="0">
                  <c:v>161.88</c:v>
                </c:pt>
                <c:pt idx="1">
                  <c:v>9247.0300000000007</c:v>
                </c:pt>
                <c:pt idx="2">
                  <c:v>167.09</c:v>
                </c:pt>
                <c:pt idx="3">
                  <c:v>10037.06</c:v>
                </c:pt>
                <c:pt idx="4">
                  <c:v>247.16</c:v>
                </c:pt>
                <c:pt idx="5">
                  <c:v>9962.64</c:v>
                </c:pt>
                <c:pt idx="6">
                  <c:v>359.72</c:v>
                </c:pt>
                <c:pt idx="7">
                  <c:v>10026.049999999999</c:v>
                </c:pt>
                <c:pt idx="8">
                  <c:v>177.11</c:v>
                </c:pt>
                <c:pt idx="9">
                  <c:v>9901.75</c:v>
                </c:pt>
                <c:pt idx="10">
                  <c:v>409.52</c:v>
                </c:pt>
                <c:pt idx="11">
                  <c:v>9988.0499999999993</c:v>
                </c:pt>
                <c:pt idx="12">
                  <c:v>515.62</c:v>
                </c:pt>
                <c:pt idx="13">
                  <c:v>9938.48</c:v>
                </c:pt>
                <c:pt idx="14">
                  <c:v>349.2</c:v>
                </c:pt>
                <c:pt idx="15">
                  <c:v>10425.530000000001</c:v>
                </c:pt>
                <c:pt idx="16">
                  <c:v>196.61</c:v>
                </c:pt>
                <c:pt idx="17">
                  <c:v>9936.23</c:v>
                </c:pt>
                <c:pt idx="18">
                  <c:v>239.2</c:v>
                </c:pt>
                <c:pt idx="19">
                  <c:v>9654.41</c:v>
                </c:pt>
                <c:pt idx="20">
                  <c:v>496.84</c:v>
                </c:pt>
                <c:pt idx="21">
                  <c:v>10446.280000000001</c:v>
                </c:pt>
                <c:pt idx="22">
                  <c:v>359.69</c:v>
                </c:pt>
                <c:pt idx="23">
                  <c:v>11955.61</c:v>
                </c:pt>
                <c:pt idx="24">
                  <c:v>247.08</c:v>
                </c:pt>
                <c:pt idx="25">
                  <c:v>10214.129999999999</c:v>
                </c:pt>
                <c:pt idx="26">
                  <c:v>326.75</c:v>
                </c:pt>
                <c:pt idx="27">
                  <c:v>10232.5</c:v>
                </c:pt>
                <c:pt idx="28">
                  <c:v>337.33</c:v>
                </c:pt>
                <c:pt idx="29">
                  <c:v>12427.52</c:v>
                </c:pt>
                <c:pt idx="30">
                  <c:v>428.28</c:v>
                </c:pt>
                <c:pt idx="31">
                  <c:v>19338.189999999999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F0-4AC3-8C1E-441BC2A11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8355583"/>
        <c:axId val="898354143"/>
      </c:lineChart>
      <c:catAx>
        <c:axId val="89835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354143"/>
        <c:crosses val="autoZero"/>
        <c:auto val="1"/>
        <c:lblAlgn val="ctr"/>
        <c:lblOffset val="100"/>
        <c:noMultiLvlLbl val="0"/>
      </c:catAx>
      <c:valAx>
        <c:axId val="89835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35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PCA validation objective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304365497619883E-2"/>
          <c:y val="9.2879785418190711E-2"/>
          <c:w val="0.94225159191059127"/>
          <c:h val="0.75991586457691329"/>
        </c:manualLayout>
      </c:layout>
      <c:lineChart>
        <c:grouping val="standard"/>
        <c:varyColors val="0"/>
        <c:ser>
          <c:idx val="0"/>
          <c:order val="0"/>
          <c:tx>
            <c:strRef>
              <c:f>PCA!$B$399</c:f>
              <c:strCache>
                <c:ptCount val="1"/>
                <c:pt idx="0">
                  <c:v>OCSVM FP n=500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PCA!$A$400:$A$474</c:f>
              <c:numCache>
                <c:formatCode>General</c:formatCode>
                <c:ptCount val="7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</c:numCache>
            </c:numRef>
          </c:cat>
          <c:val>
            <c:numRef>
              <c:f>PCA!$B$400:$B$474</c:f>
              <c:numCache>
                <c:formatCode>General</c:formatCode>
                <c:ptCount val="75"/>
                <c:pt idx="0">
                  <c:v>2.6666666666666668E-2</c:v>
                </c:pt>
                <c:pt idx="1">
                  <c:v>2.3333333333333334E-2</c:v>
                </c:pt>
                <c:pt idx="2">
                  <c:v>1.6666666666666666E-2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3.3333333333333335E-3</c:v>
                </c:pt>
                <c:pt idx="6">
                  <c:v>3.3333333333333335E-3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3.3333333333333335E-3</c:v>
                </c:pt>
                <c:pt idx="39">
                  <c:v>1.3333333333333334E-2</c:v>
                </c:pt>
                <c:pt idx="40">
                  <c:v>1.6666666666666666E-2</c:v>
                </c:pt>
                <c:pt idx="41">
                  <c:v>3.3333333333333333E-2</c:v>
                </c:pt>
                <c:pt idx="42">
                  <c:v>4.9666666666666671E-2</c:v>
                </c:pt>
                <c:pt idx="43">
                  <c:v>5.9333333333333328E-2</c:v>
                </c:pt>
                <c:pt idx="44">
                  <c:v>6.933333333333333E-2</c:v>
                </c:pt>
                <c:pt idx="45">
                  <c:v>8.2333333333333342E-2</c:v>
                </c:pt>
                <c:pt idx="46">
                  <c:v>0.11233333333333333</c:v>
                </c:pt>
                <c:pt idx="47">
                  <c:v>0.13566666666666669</c:v>
                </c:pt>
                <c:pt idx="48">
                  <c:v>0.18133333333333335</c:v>
                </c:pt>
                <c:pt idx="49">
                  <c:v>0.19466666666666665</c:v>
                </c:pt>
                <c:pt idx="50">
                  <c:v>0.21466666666666667</c:v>
                </c:pt>
                <c:pt idx="51">
                  <c:v>0.254</c:v>
                </c:pt>
                <c:pt idx="52">
                  <c:v>0.26400000000000001</c:v>
                </c:pt>
                <c:pt idx="53">
                  <c:v>0.29033333333333333</c:v>
                </c:pt>
                <c:pt idx="54">
                  <c:v>0.3136666666666667</c:v>
                </c:pt>
                <c:pt idx="55">
                  <c:v>0.34</c:v>
                </c:pt>
                <c:pt idx="56">
                  <c:v>0.373</c:v>
                </c:pt>
                <c:pt idx="57">
                  <c:v>0.39933333333333332</c:v>
                </c:pt>
                <c:pt idx="58">
                  <c:v>0.41566666666666668</c:v>
                </c:pt>
                <c:pt idx="59">
                  <c:v>0.4323333333333334</c:v>
                </c:pt>
                <c:pt idx="60">
                  <c:v>0.46533333333333332</c:v>
                </c:pt>
                <c:pt idx="61">
                  <c:v>0.4916666666666667</c:v>
                </c:pt>
                <c:pt idx="62">
                  <c:v>0.505</c:v>
                </c:pt>
                <c:pt idx="63">
                  <c:v>0.52800000000000002</c:v>
                </c:pt>
                <c:pt idx="64">
                  <c:v>0.55100000000000005</c:v>
                </c:pt>
                <c:pt idx="65">
                  <c:v>0.56433333333333335</c:v>
                </c:pt>
                <c:pt idx="66">
                  <c:v>0.58399999999999996</c:v>
                </c:pt>
                <c:pt idx="67">
                  <c:v>0.58733333333333337</c:v>
                </c:pt>
                <c:pt idx="68">
                  <c:v>0.60066666666666668</c:v>
                </c:pt>
                <c:pt idx="69">
                  <c:v>0.62733333333333341</c:v>
                </c:pt>
                <c:pt idx="70">
                  <c:v>0.63400000000000001</c:v>
                </c:pt>
                <c:pt idx="71">
                  <c:v>0.66300000000000003</c:v>
                </c:pt>
                <c:pt idx="72">
                  <c:v>0.67633333333333334</c:v>
                </c:pt>
                <c:pt idx="73">
                  <c:v>0.68633333333333335</c:v>
                </c:pt>
                <c:pt idx="74">
                  <c:v>0.70299999999999996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02-42F4-838B-9099AF9A6589}"/>
            </c:ext>
          </c:extLst>
        </c:ser>
        <c:ser>
          <c:idx val="1"/>
          <c:order val="1"/>
          <c:tx>
            <c:strRef>
              <c:f>PCA!$C$399</c:f>
              <c:strCache>
                <c:ptCount val="1"/>
                <c:pt idx="0">
                  <c:v>AE n=500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PCA!$A$400:$A$474</c:f>
              <c:numCache>
                <c:formatCode>General</c:formatCode>
                <c:ptCount val="7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</c:numCache>
            </c:numRef>
          </c:cat>
          <c:val>
            <c:numRef>
              <c:f>PCA!$C$400:$C$474</c:f>
              <c:numCache>
                <c:formatCode>General</c:formatCode>
                <c:ptCount val="75"/>
                <c:pt idx="0">
                  <c:v>0.158415841584158</c:v>
                </c:pt>
                <c:pt idx="1">
                  <c:v>0.24587458745874535</c:v>
                </c:pt>
                <c:pt idx="2">
                  <c:v>0.27722772277227664</c:v>
                </c:pt>
                <c:pt idx="3">
                  <c:v>0.22222222222222165</c:v>
                </c:pt>
                <c:pt idx="4">
                  <c:v>0.16226622662266199</c:v>
                </c:pt>
                <c:pt idx="5">
                  <c:v>8.4158415841583831E-2</c:v>
                </c:pt>
                <c:pt idx="6">
                  <c:v>9.8459845984598129E-2</c:v>
                </c:pt>
                <c:pt idx="7">
                  <c:v>5.8855885588558837E-2</c:v>
                </c:pt>
                <c:pt idx="8">
                  <c:v>3.9053905390539038E-2</c:v>
                </c:pt>
                <c:pt idx="9">
                  <c:v>3.5203520352035167E-2</c:v>
                </c:pt>
                <c:pt idx="10">
                  <c:v>2.9152915291529136E-2</c:v>
                </c:pt>
                <c:pt idx="11">
                  <c:v>1.5951595159515931E-2</c:v>
                </c:pt>
                <c:pt idx="12">
                  <c:v>1.1001100110010967E-2</c:v>
                </c:pt>
                <c:pt idx="13">
                  <c:v>1.1551155115511533E-2</c:v>
                </c:pt>
                <c:pt idx="14">
                  <c:v>6.0506050605060495E-3</c:v>
                </c:pt>
                <c:pt idx="15">
                  <c:v>2.75027502750275E-3</c:v>
                </c:pt>
                <c:pt idx="16">
                  <c:v>1.65016501650165E-3</c:v>
                </c:pt>
                <c:pt idx="17">
                  <c:v>1.1001100110011001E-3</c:v>
                </c:pt>
                <c:pt idx="18">
                  <c:v>5.5005500550055003E-4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5.5005500550055003E-4</c:v>
                </c:pt>
                <c:pt idx="30">
                  <c:v>0</c:v>
                </c:pt>
                <c:pt idx="31">
                  <c:v>1.65016501650165E-3</c:v>
                </c:pt>
                <c:pt idx="32">
                  <c:v>5.5005500550055003E-4</c:v>
                </c:pt>
                <c:pt idx="33">
                  <c:v>2.2002200220022001E-3</c:v>
                </c:pt>
                <c:pt idx="34">
                  <c:v>3.3003300330032999E-3</c:v>
                </c:pt>
                <c:pt idx="35">
                  <c:v>6.0506050605060495E-3</c:v>
                </c:pt>
                <c:pt idx="36">
                  <c:v>7.7007700770076832E-3</c:v>
                </c:pt>
                <c:pt idx="37">
                  <c:v>8.2508250825082483E-3</c:v>
                </c:pt>
                <c:pt idx="38">
                  <c:v>1.2101210121012099E-2</c:v>
                </c:pt>
                <c:pt idx="39">
                  <c:v>1.6501650165016483E-2</c:v>
                </c:pt>
                <c:pt idx="40">
                  <c:v>2.4752475247524736E-2</c:v>
                </c:pt>
                <c:pt idx="41">
                  <c:v>3.410341034103407E-2</c:v>
                </c:pt>
                <c:pt idx="42">
                  <c:v>4.1804180418041764E-2</c:v>
                </c:pt>
                <c:pt idx="43">
                  <c:v>6.3806380638063764E-2</c:v>
                </c:pt>
                <c:pt idx="44">
                  <c:v>5.7755775577557733E-2</c:v>
                </c:pt>
                <c:pt idx="45">
                  <c:v>8.7458745874587421E-2</c:v>
                </c:pt>
                <c:pt idx="46">
                  <c:v>0.11386138613861334</c:v>
                </c:pt>
                <c:pt idx="47">
                  <c:v>0.13256325632563201</c:v>
                </c:pt>
                <c:pt idx="48">
                  <c:v>0.165566556655665</c:v>
                </c:pt>
                <c:pt idx="49">
                  <c:v>0.18426842684268366</c:v>
                </c:pt>
                <c:pt idx="50">
                  <c:v>0.21342134213421302</c:v>
                </c:pt>
                <c:pt idx="51">
                  <c:v>0.23157315731573069</c:v>
                </c:pt>
                <c:pt idx="52">
                  <c:v>0.25302530253025268</c:v>
                </c:pt>
                <c:pt idx="53">
                  <c:v>0.27942794279427902</c:v>
                </c:pt>
                <c:pt idx="54">
                  <c:v>0.30033003300329963</c:v>
                </c:pt>
                <c:pt idx="55">
                  <c:v>0.32948294829482899</c:v>
                </c:pt>
                <c:pt idx="56">
                  <c:v>0.36523652365236497</c:v>
                </c:pt>
                <c:pt idx="57">
                  <c:v>0.38778877887788732</c:v>
                </c:pt>
                <c:pt idx="58">
                  <c:v>0.40099009900990068</c:v>
                </c:pt>
                <c:pt idx="59">
                  <c:v>0.4301430143014297</c:v>
                </c:pt>
                <c:pt idx="60">
                  <c:v>0.44939493949394865</c:v>
                </c:pt>
                <c:pt idx="61">
                  <c:v>0.47634763476347591</c:v>
                </c:pt>
                <c:pt idx="62">
                  <c:v>0.49504950495049499</c:v>
                </c:pt>
                <c:pt idx="63">
                  <c:v>0.51320132013201303</c:v>
                </c:pt>
                <c:pt idx="64">
                  <c:v>0.54235423542354166</c:v>
                </c:pt>
                <c:pt idx="65">
                  <c:v>0.55720572057205653</c:v>
                </c:pt>
                <c:pt idx="66">
                  <c:v>0.57315731573157302</c:v>
                </c:pt>
                <c:pt idx="67">
                  <c:v>0.57535753575357507</c:v>
                </c:pt>
                <c:pt idx="68">
                  <c:v>0.59735973597359704</c:v>
                </c:pt>
                <c:pt idx="69">
                  <c:v>0.61276127612761266</c:v>
                </c:pt>
                <c:pt idx="70">
                  <c:v>0.61936193619361901</c:v>
                </c:pt>
                <c:pt idx="71">
                  <c:v>0.6540154015401537</c:v>
                </c:pt>
                <c:pt idx="72">
                  <c:v>0.66446644664466403</c:v>
                </c:pt>
                <c:pt idx="73">
                  <c:v>0.67656765676567632</c:v>
                </c:pt>
                <c:pt idx="74">
                  <c:v>0.69361936193619333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02-42F4-838B-9099AF9A6589}"/>
            </c:ext>
          </c:extLst>
        </c:ser>
        <c:ser>
          <c:idx val="2"/>
          <c:order val="2"/>
          <c:tx>
            <c:strRef>
              <c:f>PCA!$D$399</c:f>
              <c:strCache>
                <c:ptCount val="1"/>
                <c:pt idx="0">
                  <c:v>IF n=500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PCA!$A$400:$A$474</c:f>
              <c:numCache>
                <c:formatCode>General</c:formatCode>
                <c:ptCount val="7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</c:numCache>
            </c:numRef>
          </c:cat>
          <c:val>
            <c:numRef>
              <c:f>PCA!$D$400:$D$474</c:f>
              <c:numCache>
                <c:formatCode>General</c:formatCode>
                <c:ptCount val="75"/>
                <c:pt idx="0">
                  <c:v>2.2601333333333334E-2</c:v>
                </c:pt>
                <c:pt idx="1">
                  <c:v>2.3735000000000003E-2</c:v>
                </c:pt>
                <c:pt idx="2">
                  <c:v>1.4900999999999999E-2</c:v>
                </c:pt>
                <c:pt idx="3">
                  <c:v>1.1600666666666667E-2</c:v>
                </c:pt>
                <c:pt idx="4">
                  <c:v>1.8201333333333333E-2</c:v>
                </c:pt>
                <c:pt idx="5">
                  <c:v>1.1050666666666667E-2</c:v>
                </c:pt>
                <c:pt idx="6">
                  <c:v>1.4350666666666664E-2</c:v>
                </c:pt>
                <c:pt idx="7">
                  <c:v>9.4003333333333335E-3</c:v>
                </c:pt>
                <c:pt idx="8">
                  <c:v>8.3000000000000001E-3</c:v>
                </c:pt>
                <c:pt idx="9">
                  <c:v>5.5499999999999994E-3</c:v>
                </c:pt>
                <c:pt idx="10">
                  <c:v>7.7499999999999999E-3</c:v>
                </c:pt>
                <c:pt idx="11">
                  <c:v>5.0000000000000001E-3</c:v>
                </c:pt>
                <c:pt idx="12">
                  <c:v>5.5500000000000002E-3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5.0000000000000001E-3</c:v>
                </c:pt>
                <c:pt idx="18">
                  <c:v>5.0000000000000001E-3</c:v>
                </c:pt>
                <c:pt idx="19">
                  <c:v>5.0000000000000001E-3</c:v>
                </c:pt>
                <c:pt idx="20">
                  <c:v>5.0000000000000001E-3</c:v>
                </c:pt>
                <c:pt idx="21">
                  <c:v>5.0000000000000001E-3</c:v>
                </c:pt>
                <c:pt idx="22">
                  <c:v>5.0000000000000001E-3</c:v>
                </c:pt>
                <c:pt idx="23">
                  <c:v>5.0000000000000001E-3</c:v>
                </c:pt>
                <c:pt idx="24">
                  <c:v>5.0000000000000001E-3</c:v>
                </c:pt>
                <c:pt idx="25">
                  <c:v>5.0000000000000001E-3</c:v>
                </c:pt>
                <c:pt idx="26">
                  <c:v>5.0000000000000001E-3</c:v>
                </c:pt>
                <c:pt idx="27">
                  <c:v>5.0000000000000001E-3</c:v>
                </c:pt>
                <c:pt idx="28">
                  <c:v>5.0000000000000001E-3</c:v>
                </c:pt>
                <c:pt idx="29">
                  <c:v>5.0000000000000001E-3</c:v>
                </c:pt>
                <c:pt idx="30">
                  <c:v>5.0000000000000001E-3</c:v>
                </c:pt>
                <c:pt idx="31">
                  <c:v>5.0000000000000001E-3</c:v>
                </c:pt>
                <c:pt idx="32">
                  <c:v>5.0000000000000001E-3</c:v>
                </c:pt>
                <c:pt idx="33">
                  <c:v>5.0000000000000001E-3</c:v>
                </c:pt>
                <c:pt idx="34">
                  <c:v>5.5500000000000002E-3</c:v>
                </c:pt>
                <c:pt idx="35">
                  <c:v>5.5500000000000002E-3</c:v>
                </c:pt>
                <c:pt idx="36">
                  <c:v>5.5499999999999994E-3</c:v>
                </c:pt>
                <c:pt idx="37">
                  <c:v>6.1000000000000004E-3</c:v>
                </c:pt>
                <c:pt idx="38">
                  <c:v>1.1600666666666667E-2</c:v>
                </c:pt>
                <c:pt idx="39">
                  <c:v>9.4000000000000004E-3</c:v>
                </c:pt>
                <c:pt idx="40">
                  <c:v>1.1050666666666667E-2</c:v>
                </c:pt>
                <c:pt idx="41">
                  <c:v>1.3800666666666664E-2</c:v>
                </c:pt>
                <c:pt idx="42">
                  <c:v>1.6551E-2</c:v>
                </c:pt>
                <c:pt idx="43">
                  <c:v>2.3151999999999995E-2</c:v>
                </c:pt>
                <c:pt idx="44">
                  <c:v>1.8751E-2</c:v>
                </c:pt>
                <c:pt idx="45">
                  <c:v>2.0951333333333332E-2</c:v>
                </c:pt>
                <c:pt idx="46">
                  <c:v>4.3503666666666663E-2</c:v>
                </c:pt>
                <c:pt idx="47">
                  <c:v>3.9103666666666669E-2</c:v>
                </c:pt>
                <c:pt idx="48">
                  <c:v>5.7805333333333341E-2</c:v>
                </c:pt>
                <c:pt idx="49">
                  <c:v>5.3405000000000001E-2</c:v>
                </c:pt>
                <c:pt idx="50">
                  <c:v>6.550566666666667E-2</c:v>
                </c:pt>
                <c:pt idx="51">
                  <c:v>8.585799999999999E-2</c:v>
                </c:pt>
                <c:pt idx="52">
                  <c:v>9.7409333333333334E-2</c:v>
                </c:pt>
                <c:pt idx="53">
                  <c:v>0.10620999999999998</c:v>
                </c:pt>
                <c:pt idx="54">
                  <c:v>9.7959333333333329E-2</c:v>
                </c:pt>
                <c:pt idx="55">
                  <c:v>0.117211</c:v>
                </c:pt>
                <c:pt idx="56">
                  <c:v>0.14251366666666668</c:v>
                </c:pt>
                <c:pt idx="57">
                  <c:v>0.15791533333333332</c:v>
                </c:pt>
                <c:pt idx="58">
                  <c:v>0.16286600000000001</c:v>
                </c:pt>
                <c:pt idx="59">
                  <c:v>0.19916933333333331</c:v>
                </c:pt>
                <c:pt idx="60">
                  <c:v>0.16121566666666667</c:v>
                </c:pt>
                <c:pt idx="61">
                  <c:v>0.18706800000000001</c:v>
                </c:pt>
                <c:pt idx="62">
                  <c:v>0.21182066666666666</c:v>
                </c:pt>
                <c:pt idx="63">
                  <c:v>0.25692500000000001</c:v>
                </c:pt>
                <c:pt idx="64">
                  <c:v>0.28167766666666666</c:v>
                </c:pt>
                <c:pt idx="65">
                  <c:v>0.246474</c:v>
                </c:pt>
                <c:pt idx="66">
                  <c:v>0.313031</c:v>
                </c:pt>
                <c:pt idx="67">
                  <c:v>0.27837733333333331</c:v>
                </c:pt>
                <c:pt idx="68">
                  <c:v>0.31688100000000002</c:v>
                </c:pt>
                <c:pt idx="69">
                  <c:v>0.34218366666666666</c:v>
                </c:pt>
                <c:pt idx="70">
                  <c:v>0.3498843333333333</c:v>
                </c:pt>
                <c:pt idx="71">
                  <c:v>0.39718933333333334</c:v>
                </c:pt>
                <c:pt idx="72">
                  <c:v>0.36418599999999995</c:v>
                </c:pt>
                <c:pt idx="73">
                  <c:v>0.42689200000000005</c:v>
                </c:pt>
                <c:pt idx="74">
                  <c:v>0.37628700000000004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02-42F4-838B-9099AF9A6589}"/>
            </c:ext>
          </c:extLst>
        </c:ser>
        <c:ser>
          <c:idx val="3"/>
          <c:order val="3"/>
          <c:tx>
            <c:strRef>
              <c:f>PCA!$E$399</c:f>
              <c:strCache>
                <c:ptCount val="1"/>
                <c:pt idx="0">
                  <c:v>OCSVM FP n=1000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PCA!$A$400:$A$474</c:f>
              <c:numCache>
                <c:formatCode>General</c:formatCode>
                <c:ptCount val="7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</c:numCache>
            </c:numRef>
          </c:cat>
          <c:val>
            <c:numRef>
              <c:f>PCA!$E$400:$E$474</c:f>
              <c:numCache>
                <c:formatCode>General</c:formatCode>
                <c:ptCount val="75"/>
                <c:pt idx="0">
                  <c:v>1.4999999999999999E-2</c:v>
                </c:pt>
                <c:pt idx="1">
                  <c:v>8.3333333333333332E-3</c:v>
                </c:pt>
                <c:pt idx="2">
                  <c:v>3.833333333333333E-2</c:v>
                </c:pt>
                <c:pt idx="3">
                  <c:v>2.8333333333333335E-2</c:v>
                </c:pt>
                <c:pt idx="4">
                  <c:v>1.4999999999999999E-2</c:v>
                </c:pt>
                <c:pt idx="5">
                  <c:v>0.01</c:v>
                </c:pt>
                <c:pt idx="6">
                  <c:v>1.1666666666666667E-2</c:v>
                </c:pt>
                <c:pt idx="7">
                  <c:v>1.3333333333333334E-2</c:v>
                </c:pt>
                <c:pt idx="8">
                  <c:v>0.01</c:v>
                </c:pt>
                <c:pt idx="9">
                  <c:v>5.0000000000000001E-3</c:v>
                </c:pt>
                <c:pt idx="10">
                  <c:v>1.6666666666666668E-3</c:v>
                </c:pt>
                <c:pt idx="11">
                  <c:v>3.3333333333333335E-3</c:v>
                </c:pt>
                <c:pt idx="12">
                  <c:v>1.6666666666666668E-3</c:v>
                </c:pt>
                <c:pt idx="13">
                  <c:v>1.6666666666666668E-3</c:v>
                </c:pt>
                <c:pt idx="14">
                  <c:v>1.6666666666666668E-3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1.6666666666666668E-3</c:v>
                </c:pt>
                <c:pt idx="66">
                  <c:v>1.6666666666666668E-3</c:v>
                </c:pt>
                <c:pt idx="67">
                  <c:v>1.6666666666666668E-3</c:v>
                </c:pt>
                <c:pt idx="68">
                  <c:v>1.6666666666666668E-3</c:v>
                </c:pt>
                <c:pt idx="69">
                  <c:v>1.6666666666666668E-3</c:v>
                </c:pt>
                <c:pt idx="70">
                  <c:v>3.3333333333333335E-3</c:v>
                </c:pt>
                <c:pt idx="71">
                  <c:v>6.6666666666666671E-3</c:v>
                </c:pt>
                <c:pt idx="72">
                  <c:v>8.3333333333333332E-3</c:v>
                </c:pt>
                <c:pt idx="73">
                  <c:v>0.01</c:v>
                </c:pt>
                <c:pt idx="74">
                  <c:v>1.6666666666666666E-2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02-42F4-838B-9099AF9A6589}"/>
            </c:ext>
          </c:extLst>
        </c:ser>
        <c:ser>
          <c:idx val="4"/>
          <c:order val="4"/>
          <c:tx>
            <c:strRef>
              <c:f>PCA!$F$399</c:f>
              <c:strCache>
                <c:ptCount val="1"/>
                <c:pt idx="0">
                  <c:v>AE n=1000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PCA!$A$400:$A$474</c:f>
              <c:numCache>
                <c:formatCode>General</c:formatCode>
                <c:ptCount val="7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</c:numCache>
            </c:numRef>
          </c:cat>
          <c:val>
            <c:numRef>
              <c:f>PCA!$F$400:$F$474</c:f>
              <c:numCache>
                <c:formatCode>General</c:formatCode>
                <c:ptCount val="75"/>
                <c:pt idx="0">
                  <c:v>0.13515754560530638</c:v>
                </c:pt>
                <c:pt idx="1">
                  <c:v>0.1793808734107237</c:v>
                </c:pt>
                <c:pt idx="2">
                  <c:v>0.22443338861249265</c:v>
                </c:pt>
                <c:pt idx="3">
                  <c:v>0.22001105583195102</c:v>
                </c:pt>
                <c:pt idx="4">
                  <c:v>0.19817578772802602</c:v>
                </c:pt>
                <c:pt idx="5">
                  <c:v>0.20563847429519033</c:v>
                </c:pt>
                <c:pt idx="6">
                  <c:v>0.17330016583747868</c:v>
                </c:pt>
                <c:pt idx="7">
                  <c:v>0.18435599778883302</c:v>
                </c:pt>
                <c:pt idx="8">
                  <c:v>0.17412935323383069</c:v>
                </c:pt>
                <c:pt idx="9">
                  <c:v>9.6738529574350238E-2</c:v>
                </c:pt>
                <c:pt idx="10">
                  <c:v>8.706467661691536E-2</c:v>
                </c:pt>
                <c:pt idx="11">
                  <c:v>6.440022111663897E-2</c:v>
                </c:pt>
                <c:pt idx="12">
                  <c:v>6.357103372028744E-2</c:v>
                </c:pt>
                <c:pt idx="13">
                  <c:v>5.4449972360420096E-2</c:v>
                </c:pt>
                <c:pt idx="14">
                  <c:v>4.063018242122713E-2</c:v>
                </c:pt>
                <c:pt idx="15">
                  <c:v>4.0353786622443301E-2</c:v>
                </c:pt>
                <c:pt idx="16">
                  <c:v>3.7313432835820837E-2</c:v>
                </c:pt>
                <c:pt idx="17">
                  <c:v>2.7915975677169663E-2</c:v>
                </c:pt>
                <c:pt idx="18">
                  <c:v>2.8468767274737367E-2</c:v>
                </c:pt>
                <c:pt idx="19">
                  <c:v>2.0176893311221633E-2</c:v>
                </c:pt>
                <c:pt idx="20">
                  <c:v>2.0453289110005466E-2</c:v>
                </c:pt>
                <c:pt idx="21">
                  <c:v>2.0453289110005466E-2</c:v>
                </c:pt>
                <c:pt idx="22">
                  <c:v>1.6583747927031465E-2</c:v>
                </c:pt>
                <c:pt idx="23">
                  <c:v>1.4372581536760598E-2</c:v>
                </c:pt>
                <c:pt idx="24">
                  <c:v>1.2714206744057448E-2</c:v>
                </c:pt>
                <c:pt idx="25">
                  <c:v>1.1885019347705868E-2</c:v>
                </c:pt>
                <c:pt idx="26">
                  <c:v>1.0779436152570444E-2</c:v>
                </c:pt>
                <c:pt idx="27">
                  <c:v>1.1608623548922043E-2</c:v>
                </c:pt>
                <c:pt idx="28">
                  <c:v>1.1332227750138139E-2</c:v>
                </c:pt>
                <c:pt idx="29">
                  <c:v>1.0503040353786583E-2</c:v>
                </c:pt>
                <c:pt idx="30">
                  <c:v>9.3974571586511822E-3</c:v>
                </c:pt>
                <c:pt idx="31">
                  <c:v>9.3974571586511561E-3</c:v>
                </c:pt>
                <c:pt idx="32">
                  <c:v>9.3974571586511822E-3</c:v>
                </c:pt>
                <c:pt idx="33">
                  <c:v>9.1210613598673163E-3</c:v>
                </c:pt>
                <c:pt idx="34">
                  <c:v>8.2918739635157428E-3</c:v>
                </c:pt>
                <c:pt idx="35">
                  <c:v>5.8043117744610235E-3</c:v>
                </c:pt>
                <c:pt idx="36">
                  <c:v>6.0807075732448798E-3</c:v>
                </c:pt>
                <c:pt idx="37">
                  <c:v>7.1862907683803131E-3</c:v>
                </c:pt>
                <c:pt idx="38">
                  <c:v>6.909894969596461E-3</c:v>
                </c:pt>
                <c:pt idx="39">
                  <c:v>6.357103372028744E-3</c:v>
                </c:pt>
                <c:pt idx="40">
                  <c:v>7.4626865671641564E-3</c:v>
                </c:pt>
                <c:pt idx="41">
                  <c:v>5.5279159756771628E-3</c:v>
                </c:pt>
                <c:pt idx="42">
                  <c:v>6.0807075732448798E-3</c:v>
                </c:pt>
                <c:pt idx="43">
                  <c:v>6.3571033720287396E-3</c:v>
                </c:pt>
                <c:pt idx="44">
                  <c:v>6.6334991708125969E-3</c:v>
                </c:pt>
                <c:pt idx="45">
                  <c:v>8.0154781647318891E-3</c:v>
                </c:pt>
                <c:pt idx="46">
                  <c:v>6.0807075732448798E-3</c:v>
                </c:pt>
                <c:pt idx="47">
                  <c:v>6.6334991708125969E-3</c:v>
                </c:pt>
                <c:pt idx="48">
                  <c:v>7.1862907683803131E-3</c:v>
                </c:pt>
                <c:pt idx="49">
                  <c:v>6.0807075732448798E-3</c:v>
                </c:pt>
                <c:pt idx="50">
                  <c:v>6.9098949695964558E-3</c:v>
                </c:pt>
                <c:pt idx="51">
                  <c:v>6.6334991708125969E-3</c:v>
                </c:pt>
                <c:pt idx="52">
                  <c:v>6.0807075732448798E-3</c:v>
                </c:pt>
                <c:pt idx="53">
                  <c:v>7.7390823659480067E-3</c:v>
                </c:pt>
                <c:pt idx="54">
                  <c:v>5.8043117744610235E-3</c:v>
                </c:pt>
                <c:pt idx="55">
                  <c:v>6.9098949695964558E-3</c:v>
                </c:pt>
                <c:pt idx="56">
                  <c:v>6.9098949695964558E-3</c:v>
                </c:pt>
                <c:pt idx="57">
                  <c:v>9.1210613598672902E-3</c:v>
                </c:pt>
                <c:pt idx="58">
                  <c:v>7.7390823659480336E-3</c:v>
                </c:pt>
                <c:pt idx="59">
                  <c:v>7.7390823659480371E-3</c:v>
                </c:pt>
                <c:pt idx="60">
                  <c:v>7.7390823659480301E-3</c:v>
                </c:pt>
                <c:pt idx="61">
                  <c:v>8.2918739635157324E-3</c:v>
                </c:pt>
                <c:pt idx="62">
                  <c:v>9.3974571586511665E-3</c:v>
                </c:pt>
                <c:pt idx="63">
                  <c:v>7.4626865671641764E-3</c:v>
                </c:pt>
                <c:pt idx="64">
                  <c:v>1.1608623548922033E-2</c:v>
                </c:pt>
                <c:pt idx="65">
                  <c:v>8.5682697622995931E-3</c:v>
                </c:pt>
                <c:pt idx="66">
                  <c:v>1.3266998341625183E-2</c:v>
                </c:pt>
                <c:pt idx="67">
                  <c:v>9.3974571586511665E-3</c:v>
                </c:pt>
                <c:pt idx="68">
                  <c:v>1.2161415146489723E-2</c:v>
                </c:pt>
                <c:pt idx="69">
                  <c:v>1.2990602542841305E-2</c:v>
                </c:pt>
                <c:pt idx="70">
                  <c:v>1.188501934770589E-2</c:v>
                </c:pt>
                <c:pt idx="71">
                  <c:v>1.6583747927031475E-2</c:v>
                </c:pt>
                <c:pt idx="72">
                  <c:v>1.6030956329463764E-2</c:v>
                </c:pt>
                <c:pt idx="73">
                  <c:v>1.6860143725815332E-2</c:v>
                </c:pt>
                <c:pt idx="74">
                  <c:v>1.9900497512437765E-2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02-42F4-838B-9099AF9A6589}"/>
            </c:ext>
          </c:extLst>
        </c:ser>
        <c:ser>
          <c:idx val="5"/>
          <c:order val="5"/>
          <c:tx>
            <c:strRef>
              <c:f>PCA!$G$399</c:f>
              <c:strCache>
                <c:ptCount val="1"/>
                <c:pt idx="0">
                  <c:v>IF n=1000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PCA!$A$400:$A$474</c:f>
              <c:numCache>
                <c:formatCode>General</c:formatCode>
                <c:ptCount val="7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</c:numCache>
            </c:numRef>
          </c:cat>
          <c:val>
            <c:numRef>
              <c:f>PCA!$G$400:$G$474</c:f>
              <c:numCache>
                <c:formatCode>General</c:formatCode>
                <c:ptCount val="75"/>
                <c:pt idx="0">
                  <c:v>3.1257333333333331E-2</c:v>
                </c:pt>
                <c:pt idx="1">
                  <c:v>2.9599333333333328E-2</c:v>
                </c:pt>
                <c:pt idx="2">
                  <c:v>3.7891333333333332E-2</c:v>
                </c:pt>
                <c:pt idx="3">
                  <c:v>3.4574333333333339E-2</c:v>
                </c:pt>
                <c:pt idx="4">
                  <c:v>3.6508999999999993E-2</c:v>
                </c:pt>
                <c:pt idx="5">
                  <c:v>3.6509E-2</c:v>
                </c:pt>
                <c:pt idx="6">
                  <c:v>3.6232333333333332E-2</c:v>
                </c:pt>
                <c:pt idx="7">
                  <c:v>3.0151999999999998E-2</c:v>
                </c:pt>
                <c:pt idx="8">
                  <c:v>2.6006000000000001E-2</c:v>
                </c:pt>
                <c:pt idx="9">
                  <c:v>2.3242333333333334E-2</c:v>
                </c:pt>
                <c:pt idx="10">
                  <c:v>2.1307333333333334E-2</c:v>
                </c:pt>
                <c:pt idx="11">
                  <c:v>2.1030666666666666E-2</c:v>
                </c:pt>
                <c:pt idx="12">
                  <c:v>2.0478333333333334E-2</c:v>
                </c:pt>
                <c:pt idx="13">
                  <c:v>1.9372333333333335E-2</c:v>
                </c:pt>
                <c:pt idx="14">
                  <c:v>1.7161333333333331E-2</c:v>
                </c:pt>
                <c:pt idx="15">
                  <c:v>1.5779333333333333E-2</c:v>
                </c:pt>
                <c:pt idx="16">
                  <c:v>1.1909666666666667E-2</c:v>
                </c:pt>
                <c:pt idx="17">
                  <c:v>1.3567999999999998E-2</c:v>
                </c:pt>
                <c:pt idx="18">
                  <c:v>1.3568000000000002E-2</c:v>
                </c:pt>
                <c:pt idx="19">
                  <c:v>9.6986666666666662E-3</c:v>
                </c:pt>
                <c:pt idx="20">
                  <c:v>1.0251333333333333E-2</c:v>
                </c:pt>
                <c:pt idx="21">
                  <c:v>1.0803999999999999E-2</c:v>
                </c:pt>
                <c:pt idx="22">
                  <c:v>8.8693333333333332E-3</c:v>
                </c:pt>
                <c:pt idx="23">
                  <c:v>9.1459999999999996E-3</c:v>
                </c:pt>
                <c:pt idx="24">
                  <c:v>8.5929999999999982E-3</c:v>
                </c:pt>
                <c:pt idx="25">
                  <c:v>7.7640000000000001E-3</c:v>
                </c:pt>
                <c:pt idx="26">
                  <c:v>7.4876666666666659E-3</c:v>
                </c:pt>
                <c:pt idx="27">
                  <c:v>7.4876666666666659E-3</c:v>
                </c:pt>
                <c:pt idx="28">
                  <c:v>7.4876666666666659E-3</c:v>
                </c:pt>
                <c:pt idx="29">
                  <c:v>7.2113333333333335E-3</c:v>
                </c:pt>
                <c:pt idx="30">
                  <c:v>7.4876666666666659E-3</c:v>
                </c:pt>
                <c:pt idx="31">
                  <c:v>7.4876666666666659E-3</c:v>
                </c:pt>
                <c:pt idx="32">
                  <c:v>6.9349999999999993E-3</c:v>
                </c:pt>
                <c:pt idx="33">
                  <c:v>6.9349999999999993E-3</c:v>
                </c:pt>
                <c:pt idx="34">
                  <c:v>6.3816666666666666E-3</c:v>
                </c:pt>
                <c:pt idx="35">
                  <c:v>7.4876666666666659E-3</c:v>
                </c:pt>
                <c:pt idx="36">
                  <c:v>6.3819999999999997E-3</c:v>
                </c:pt>
                <c:pt idx="37">
                  <c:v>6.1053333333333333E-3</c:v>
                </c:pt>
                <c:pt idx="38">
                  <c:v>5.5526666666666667E-3</c:v>
                </c:pt>
                <c:pt idx="39">
                  <c:v>7.7640000000000001E-3</c:v>
                </c:pt>
                <c:pt idx="40">
                  <c:v>6.6583333333333329E-3</c:v>
                </c:pt>
                <c:pt idx="41">
                  <c:v>6.1053333333333333E-3</c:v>
                </c:pt>
                <c:pt idx="42">
                  <c:v>6.1056666666666664E-3</c:v>
                </c:pt>
                <c:pt idx="43">
                  <c:v>6.6583333333333329E-3</c:v>
                </c:pt>
                <c:pt idx="44">
                  <c:v>6.6586666666666669E-3</c:v>
                </c:pt>
                <c:pt idx="45">
                  <c:v>7.4876666666666659E-3</c:v>
                </c:pt>
                <c:pt idx="46">
                  <c:v>6.6583333333333329E-3</c:v>
                </c:pt>
                <c:pt idx="47">
                  <c:v>6.1053333333333333E-3</c:v>
                </c:pt>
                <c:pt idx="48">
                  <c:v>5.829E-3</c:v>
                </c:pt>
                <c:pt idx="49">
                  <c:v>6.6586666666666669E-3</c:v>
                </c:pt>
                <c:pt idx="50">
                  <c:v>5.829E-3</c:v>
                </c:pt>
                <c:pt idx="51">
                  <c:v>8.0403333333333316E-3</c:v>
                </c:pt>
                <c:pt idx="52">
                  <c:v>6.6586666666666669E-3</c:v>
                </c:pt>
                <c:pt idx="53">
                  <c:v>8.3169999999999997E-3</c:v>
                </c:pt>
                <c:pt idx="54">
                  <c:v>8.5929999999999982E-3</c:v>
                </c:pt>
                <c:pt idx="55">
                  <c:v>6.6583333333333329E-3</c:v>
                </c:pt>
                <c:pt idx="56">
                  <c:v>8.0406666666666664E-3</c:v>
                </c:pt>
                <c:pt idx="57">
                  <c:v>7.2109999999999995E-3</c:v>
                </c:pt>
                <c:pt idx="58">
                  <c:v>6.9349999999999993E-3</c:v>
                </c:pt>
                <c:pt idx="59">
                  <c:v>7.7640000000000001E-3</c:v>
                </c:pt>
                <c:pt idx="60">
                  <c:v>9.6986666666666662E-3</c:v>
                </c:pt>
                <c:pt idx="61">
                  <c:v>8.8696666666666663E-3</c:v>
                </c:pt>
                <c:pt idx="62">
                  <c:v>8.593333333333333E-3</c:v>
                </c:pt>
                <c:pt idx="63">
                  <c:v>9.6986666666666662E-3</c:v>
                </c:pt>
                <c:pt idx="64">
                  <c:v>9.9749999999999995E-3</c:v>
                </c:pt>
                <c:pt idx="65">
                  <c:v>1.2186333333333334E-2</c:v>
                </c:pt>
                <c:pt idx="66">
                  <c:v>1.2462333333333332E-2</c:v>
                </c:pt>
                <c:pt idx="67">
                  <c:v>9.9749999999999995E-3</c:v>
                </c:pt>
                <c:pt idx="68">
                  <c:v>1.0251333333333333E-2</c:v>
                </c:pt>
                <c:pt idx="69">
                  <c:v>1.0251333333333333E-2</c:v>
                </c:pt>
                <c:pt idx="70">
                  <c:v>9.9749999999999995E-3</c:v>
                </c:pt>
                <c:pt idx="71">
                  <c:v>1.7161666666666665E-2</c:v>
                </c:pt>
                <c:pt idx="72">
                  <c:v>1.4397333333333331E-2</c:v>
                </c:pt>
                <c:pt idx="73">
                  <c:v>2.1583666666666668E-2</c:v>
                </c:pt>
                <c:pt idx="74">
                  <c:v>1.5502999999999998E-2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A02-42F4-838B-9099AF9A6589}"/>
            </c:ext>
          </c:extLst>
        </c:ser>
        <c:ser>
          <c:idx val="6"/>
          <c:order val="6"/>
          <c:tx>
            <c:strRef>
              <c:f>PCA!$H$399</c:f>
              <c:strCache>
                <c:ptCount val="1"/>
                <c:pt idx="0">
                  <c:v>OCSVM FP n=1500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PCA!$A$400:$A$474</c:f>
              <c:numCache>
                <c:formatCode>General</c:formatCode>
                <c:ptCount val="7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</c:numCache>
            </c:numRef>
          </c:cat>
          <c:val>
            <c:numRef>
              <c:f>PCA!$H$400:$H$474</c:f>
              <c:numCache>
                <c:formatCode>General</c:formatCode>
                <c:ptCount val="75"/>
                <c:pt idx="0">
                  <c:v>2.1000000000000001E-2</c:v>
                </c:pt>
                <c:pt idx="1">
                  <c:v>6.6666666666666671E-3</c:v>
                </c:pt>
                <c:pt idx="2">
                  <c:v>3.5666666666666666E-2</c:v>
                </c:pt>
                <c:pt idx="3">
                  <c:v>2.1000000000000001E-2</c:v>
                </c:pt>
                <c:pt idx="4">
                  <c:v>0.02</c:v>
                </c:pt>
                <c:pt idx="5">
                  <c:v>1.7666666666666667E-2</c:v>
                </c:pt>
                <c:pt idx="6">
                  <c:v>1.5666666666666666E-2</c:v>
                </c:pt>
                <c:pt idx="7">
                  <c:v>1.6666666666666666E-2</c:v>
                </c:pt>
                <c:pt idx="8">
                  <c:v>2.3666666666666666E-2</c:v>
                </c:pt>
                <c:pt idx="9">
                  <c:v>1.8666666666666668E-2</c:v>
                </c:pt>
                <c:pt idx="10">
                  <c:v>1.4666666666666668E-2</c:v>
                </c:pt>
                <c:pt idx="11">
                  <c:v>1.6666666666666666E-2</c:v>
                </c:pt>
                <c:pt idx="12">
                  <c:v>1.1000000000000001E-2</c:v>
                </c:pt>
                <c:pt idx="13">
                  <c:v>7.6666666666666662E-3</c:v>
                </c:pt>
                <c:pt idx="14">
                  <c:v>5.6666666666666671E-3</c:v>
                </c:pt>
                <c:pt idx="15">
                  <c:v>1E-3</c:v>
                </c:pt>
                <c:pt idx="16">
                  <c:v>1E-3</c:v>
                </c:pt>
                <c:pt idx="17">
                  <c:v>3.3333333333333335E-3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02-42F4-838B-9099AF9A6589}"/>
            </c:ext>
          </c:extLst>
        </c:ser>
        <c:ser>
          <c:idx val="7"/>
          <c:order val="7"/>
          <c:tx>
            <c:strRef>
              <c:f>PCA!$I$399</c:f>
              <c:strCache>
                <c:ptCount val="1"/>
                <c:pt idx="0">
                  <c:v>AE n=1500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PCA!$A$400:$A$474</c:f>
              <c:numCache>
                <c:formatCode>General</c:formatCode>
                <c:ptCount val="7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</c:numCache>
            </c:numRef>
          </c:cat>
          <c:val>
            <c:numRef>
              <c:f>PCA!$I$400:$I$474</c:f>
              <c:numCache>
                <c:formatCode>General</c:formatCode>
                <c:ptCount val="75"/>
                <c:pt idx="0">
                  <c:v>0.10114433370247296</c:v>
                </c:pt>
                <c:pt idx="1">
                  <c:v>9.5607235142118566E-2</c:v>
                </c:pt>
                <c:pt idx="2">
                  <c:v>0.14156515319305965</c:v>
                </c:pt>
                <c:pt idx="3">
                  <c:v>0.16814322628276032</c:v>
                </c:pt>
                <c:pt idx="4">
                  <c:v>0.15485418973790999</c:v>
                </c:pt>
                <c:pt idx="5">
                  <c:v>0.16537467700258368</c:v>
                </c:pt>
                <c:pt idx="6">
                  <c:v>0.15706902916205201</c:v>
                </c:pt>
                <c:pt idx="7">
                  <c:v>0.15356220007382768</c:v>
                </c:pt>
                <c:pt idx="8">
                  <c:v>0.16925064599483133</c:v>
                </c:pt>
                <c:pt idx="9">
                  <c:v>0.146179401993355</c:v>
                </c:pt>
                <c:pt idx="10">
                  <c:v>0.14857881136950835</c:v>
                </c:pt>
                <c:pt idx="11">
                  <c:v>0.14747139165743803</c:v>
                </c:pt>
                <c:pt idx="12">
                  <c:v>0.14027316352897667</c:v>
                </c:pt>
                <c:pt idx="13">
                  <c:v>0.12882982650424499</c:v>
                </c:pt>
                <c:pt idx="14">
                  <c:v>0.11609449981542934</c:v>
                </c:pt>
                <c:pt idx="15">
                  <c:v>0.12550756736803201</c:v>
                </c:pt>
                <c:pt idx="16">
                  <c:v>0.11923218899963067</c:v>
                </c:pt>
                <c:pt idx="17">
                  <c:v>0.11498708010335905</c:v>
                </c:pt>
                <c:pt idx="18">
                  <c:v>0.11720191952750066</c:v>
                </c:pt>
                <c:pt idx="19">
                  <c:v>9.5238095238094969E-2</c:v>
                </c:pt>
                <c:pt idx="20">
                  <c:v>0.10354374307862674</c:v>
                </c:pt>
                <c:pt idx="21">
                  <c:v>9.2838685861941286E-2</c:v>
                </c:pt>
                <c:pt idx="22">
                  <c:v>9.6345514950166078E-2</c:v>
                </c:pt>
                <c:pt idx="23">
                  <c:v>8.1949058693244703E-2</c:v>
                </c:pt>
                <c:pt idx="24">
                  <c:v>7.9734219269102971E-2</c:v>
                </c:pt>
                <c:pt idx="25">
                  <c:v>8.1210778885197468E-2</c:v>
                </c:pt>
                <c:pt idx="26">
                  <c:v>8.0472499077150206E-2</c:v>
                </c:pt>
                <c:pt idx="27">
                  <c:v>7.6596530084902137E-2</c:v>
                </c:pt>
                <c:pt idx="28">
                  <c:v>6.1277224067921708E-2</c:v>
                </c:pt>
                <c:pt idx="29">
                  <c:v>6.25692137320044E-2</c:v>
                </c:pt>
                <c:pt idx="30">
                  <c:v>5.7401255075673639E-2</c:v>
                </c:pt>
                <c:pt idx="31">
                  <c:v>5.0018456995201133E-2</c:v>
                </c:pt>
                <c:pt idx="32">
                  <c:v>4.9095607235142065E-2</c:v>
                </c:pt>
                <c:pt idx="33">
                  <c:v>5.0572166851236534E-2</c:v>
                </c:pt>
                <c:pt idx="34">
                  <c:v>4.1712809154669565E-2</c:v>
                </c:pt>
                <c:pt idx="35">
                  <c:v>5.0572166851236562E-2</c:v>
                </c:pt>
                <c:pt idx="36">
                  <c:v>3.5252860834256133E-2</c:v>
                </c:pt>
                <c:pt idx="37">
                  <c:v>4.2266519010704995E-2</c:v>
                </c:pt>
                <c:pt idx="38">
                  <c:v>4.3004798818752299E-2</c:v>
                </c:pt>
                <c:pt idx="39">
                  <c:v>3.4883720930232502E-2</c:v>
                </c:pt>
                <c:pt idx="40">
                  <c:v>3.7652270210409733E-2</c:v>
                </c:pt>
                <c:pt idx="41">
                  <c:v>3.2115171650055299E-2</c:v>
                </c:pt>
                <c:pt idx="42">
                  <c:v>2.6947212993724563E-2</c:v>
                </c:pt>
                <c:pt idx="43">
                  <c:v>3.3038021410114367E-2</c:v>
                </c:pt>
                <c:pt idx="44">
                  <c:v>2.9346622369878134E-2</c:v>
                </c:pt>
                <c:pt idx="45">
                  <c:v>3.0084902177925404E-2</c:v>
                </c:pt>
                <c:pt idx="46">
                  <c:v>2.6208933185677297E-2</c:v>
                </c:pt>
                <c:pt idx="47">
                  <c:v>2.4547803617571001E-2</c:v>
                </c:pt>
                <c:pt idx="48">
                  <c:v>2.3624953857511937E-2</c:v>
                </c:pt>
                <c:pt idx="49">
                  <c:v>2.6393503137689133E-2</c:v>
                </c:pt>
                <c:pt idx="50">
                  <c:v>2.4732373569582831E-2</c:v>
                </c:pt>
                <c:pt idx="51">
                  <c:v>2.2148394241417433E-2</c:v>
                </c:pt>
                <c:pt idx="52">
                  <c:v>2.1779254337393833E-2</c:v>
                </c:pt>
                <c:pt idx="53">
                  <c:v>2.1594684385382035E-2</c:v>
                </c:pt>
                <c:pt idx="54">
                  <c:v>2.0118124769287499E-2</c:v>
                </c:pt>
                <c:pt idx="55">
                  <c:v>2.3624953857511937E-2</c:v>
                </c:pt>
                <c:pt idx="56">
                  <c:v>1.8272425249169402E-2</c:v>
                </c:pt>
                <c:pt idx="57">
                  <c:v>1.384274640088589E-2</c:v>
                </c:pt>
                <c:pt idx="58">
                  <c:v>1.69804355850867E-2</c:v>
                </c:pt>
                <c:pt idx="59">
                  <c:v>1.5503875968992201E-2</c:v>
                </c:pt>
                <c:pt idx="60">
                  <c:v>1.5688445921004022E-2</c:v>
                </c:pt>
                <c:pt idx="61">
                  <c:v>1.1627906976744165E-2</c:v>
                </c:pt>
                <c:pt idx="62">
                  <c:v>1.4027316352897667E-2</c:v>
                </c:pt>
                <c:pt idx="63">
                  <c:v>1.1627906976744177E-2</c:v>
                </c:pt>
                <c:pt idx="64">
                  <c:v>1.0335917312661473E-2</c:v>
                </c:pt>
                <c:pt idx="65">
                  <c:v>1.3658176448874107E-2</c:v>
                </c:pt>
                <c:pt idx="66">
                  <c:v>1.1812476928755941E-2</c:v>
                </c:pt>
                <c:pt idx="67">
                  <c:v>9.2284976005906124E-3</c:v>
                </c:pt>
                <c:pt idx="68">
                  <c:v>9.966777408637861E-3</c:v>
                </c:pt>
                <c:pt idx="69">
                  <c:v>1.0335917312661473E-2</c:v>
                </c:pt>
                <c:pt idx="70">
                  <c:v>1.0705057216685099E-2</c:v>
                </c:pt>
                <c:pt idx="71">
                  <c:v>8.3056478405315569E-3</c:v>
                </c:pt>
                <c:pt idx="72">
                  <c:v>7.7519379844961196E-3</c:v>
                </c:pt>
                <c:pt idx="73">
                  <c:v>7.5673680324843074E-3</c:v>
                </c:pt>
                <c:pt idx="74">
                  <c:v>1.015134736064967E-2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A02-42F4-838B-9099AF9A6589}"/>
            </c:ext>
          </c:extLst>
        </c:ser>
        <c:ser>
          <c:idx val="8"/>
          <c:order val="8"/>
          <c:tx>
            <c:strRef>
              <c:f>PCA!$J$399</c:f>
              <c:strCache>
                <c:ptCount val="1"/>
                <c:pt idx="0">
                  <c:v>IF n=1500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PCA!$A$400:$A$474</c:f>
              <c:numCache>
                <c:formatCode>General</c:formatCode>
                <c:ptCount val="7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</c:numCache>
            </c:numRef>
          </c:cat>
          <c:val>
            <c:numRef>
              <c:f>PCA!$J$400:$J$474</c:f>
              <c:numCache>
                <c:formatCode>General</c:formatCode>
                <c:ptCount val="75"/>
                <c:pt idx="0">
                  <c:v>4.7451E-2</c:v>
                </c:pt>
                <c:pt idx="1">
                  <c:v>3.2685666666666668E-2</c:v>
                </c:pt>
                <c:pt idx="2">
                  <c:v>4.4313333333333337E-2</c:v>
                </c:pt>
                <c:pt idx="3">
                  <c:v>3.6930333333333336E-2</c:v>
                </c:pt>
                <c:pt idx="4">
                  <c:v>3.7668666666666663E-2</c:v>
                </c:pt>
                <c:pt idx="5">
                  <c:v>3.1577666666666671E-2</c:v>
                </c:pt>
                <c:pt idx="6">
                  <c:v>3.0285999999999997E-2</c:v>
                </c:pt>
                <c:pt idx="7">
                  <c:v>3.3423666666666664E-2</c:v>
                </c:pt>
                <c:pt idx="8">
                  <c:v>3.3423666666666664E-2</c:v>
                </c:pt>
                <c:pt idx="9">
                  <c:v>3.3423666666666664E-2</c:v>
                </c:pt>
                <c:pt idx="10">
                  <c:v>3.0470999999999998E-2</c:v>
                </c:pt>
                <c:pt idx="11">
                  <c:v>2.6963999999999998E-2</c:v>
                </c:pt>
                <c:pt idx="12">
                  <c:v>2.8624666666666663E-2</c:v>
                </c:pt>
                <c:pt idx="13">
                  <c:v>2.5118000000000001E-2</c:v>
                </c:pt>
                <c:pt idx="14">
                  <c:v>2.3826E-2</c:v>
                </c:pt>
                <c:pt idx="15">
                  <c:v>1.9581333333333333E-2</c:v>
                </c:pt>
                <c:pt idx="16">
                  <c:v>1.8842666666666667E-2</c:v>
                </c:pt>
                <c:pt idx="17">
                  <c:v>1.8104666666666668E-2</c:v>
                </c:pt>
                <c:pt idx="18">
                  <c:v>1.7919666666666667E-2</c:v>
                </c:pt>
                <c:pt idx="19">
                  <c:v>1.5889666666666667E-2</c:v>
                </c:pt>
                <c:pt idx="20">
                  <c:v>1.6258666666666668E-2</c:v>
                </c:pt>
                <c:pt idx="21">
                  <c:v>1.5336000000000001E-2</c:v>
                </c:pt>
                <c:pt idx="22">
                  <c:v>1.3305666666666667E-2</c:v>
                </c:pt>
                <c:pt idx="23">
                  <c:v>1.1459666666666667E-2</c:v>
                </c:pt>
                <c:pt idx="24">
                  <c:v>1.2567333333333333E-2</c:v>
                </c:pt>
                <c:pt idx="25">
                  <c:v>1.2013666666666667E-2</c:v>
                </c:pt>
                <c:pt idx="26">
                  <c:v>1.2382666666666667E-2</c:v>
                </c:pt>
                <c:pt idx="27">
                  <c:v>1.1090666666666665E-2</c:v>
                </c:pt>
                <c:pt idx="28">
                  <c:v>1.0905999999999999E-2</c:v>
                </c:pt>
                <c:pt idx="29">
                  <c:v>1.0168E-2</c:v>
                </c:pt>
                <c:pt idx="30">
                  <c:v>9.6143333333333341E-3</c:v>
                </c:pt>
                <c:pt idx="31">
                  <c:v>8.6913333333333339E-3</c:v>
                </c:pt>
                <c:pt idx="32">
                  <c:v>9.0603333333333317E-3</c:v>
                </c:pt>
                <c:pt idx="33">
                  <c:v>8.691666666666667E-3</c:v>
                </c:pt>
                <c:pt idx="34">
                  <c:v>7.7683333333333328E-3</c:v>
                </c:pt>
                <c:pt idx="35">
                  <c:v>9.0603333333333352E-3</c:v>
                </c:pt>
                <c:pt idx="36">
                  <c:v>7.953E-3</c:v>
                </c:pt>
                <c:pt idx="37">
                  <c:v>8.3223333333333344E-3</c:v>
                </c:pt>
                <c:pt idx="38">
                  <c:v>7.953E-3</c:v>
                </c:pt>
                <c:pt idx="39">
                  <c:v>7.0303333333333329E-3</c:v>
                </c:pt>
                <c:pt idx="40">
                  <c:v>7.5836666666666665E-3</c:v>
                </c:pt>
                <c:pt idx="41">
                  <c:v>5.1846666666666673E-3</c:v>
                </c:pt>
                <c:pt idx="42">
                  <c:v>6.4766666666666662E-3</c:v>
                </c:pt>
                <c:pt idx="43">
                  <c:v>5.9226666666666664E-3</c:v>
                </c:pt>
                <c:pt idx="44">
                  <c:v>6.4763333333333339E-3</c:v>
                </c:pt>
                <c:pt idx="45">
                  <c:v>6.6613333333333342E-3</c:v>
                </c:pt>
                <c:pt idx="46">
                  <c:v>5.738333333333334E-3</c:v>
                </c:pt>
                <c:pt idx="47">
                  <c:v>6.4763333333333339E-3</c:v>
                </c:pt>
                <c:pt idx="48">
                  <c:v>6.8456666666666666E-3</c:v>
                </c:pt>
                <c:pt idx="49">
                  <c:v>6.1073333333333327E-3</c:v>
                </c:pt>
                <c:pt idx="50">
                  <c:v>5.738333333333334E-3</c:v>
                </c:pt>
                <c:pt idx="51">
                  <c:v>5.738E-3</c:v>
                </c:pt>
                <c:pt idx="52">
                  <c:v>5.1846666666666673E-3</c:v>
                </c:pt>
                <c:pt idx="53">
                  <c:v>5.9226666666666664E-3</c:v>
                </c:pt>
                <c:pt idx="54">
                  <c:v>5.738333333333334E-3</c:v>
                </c:pt>
                <c:pt idx="55">
                  <c:v>5.3689999999999996E-3</c:v>
                </c:pt>
                <c:pt idx="56">
                  <c:v>5.3693333333333336E-3</c:v>
                </c:pt>
                <c:pt idx="57">
                  <c:v>5.3693333333333336E-3</c:v>
                </c:pt>
                <c:pt idx="58">
                  <c:v>5.0000000000000001E-3</c:v>
                </c:pt>
                <c:pt idx="59">
                  <c:v>5.1846666666666673E-3</c:v>
                </c:pt>
                <c:pt idx="60">
                  <c:v>5.553666666666666E-3</c:v>
                </c:pt>
                <c:pt idx="61">
                  <c:v>5.0000000000000001E-3</c:v>
                </c:pt>
                <c:pt idx="62">
                  <c:v>5.0000000000000001E-3</c:v>
                </c:pt>
                <c:pt idx="63">
                  <c:v>5.0000000000000001E-3</c:v>
                </c:pt>
                <c:pt idx="64">
                  <c:v>5.0000000000000001E-3</c:v>
                </c:pt>
                <c:pt idx="65">
                  <c:v>5.0000000000000001E-3</c:v>
                </c:pt>
                <c:pt idx="66">
                  <c:v>5.0000000000000001E-3</c:v>
                </c:pt>
                <c:pt idx="67">
                  <c:v>5.0000000000000001E-3</c:v>
                </c:pt>
                <c:pt idx="68">
                  <c:v>5.0000000000000001E-3</c:v>
                </c:pt>
                <c:pt idx="69">
                  <c:v>5.0000000000000001E-3</c:v>
                </c:pt>
                <c:pt idx="70">
                  <c:v>5.1846666666666673E-3</c:v>
                </c:pt>
                <c:pt idx="71">
                  <c:v>5.0000000000000001E-3</c:v>
                </c:pt>
                <c:pt idx="72">
                  <c:v>5.0000000000000001E-3</c:v>
                </c:pt>
                <c:pt idx="73">
                  <c:v>5.0000000000000001E-3</c:v>
                </c:pt>
                <c:pt idx="74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A02-42F4-838B-9099AF9A6589}"/>
            </c:ext>
          </c:extLst>
        </c:ser>
        <c:ser>
          <c:idx val="9"/>
          <c:order val="9"/>
          <c:tx>
            <c:strRef>
              <c:f>PCA!$K$399</c:f>
              <c:strCache>
                <c:ptCount val="1"/>
                <c:pt idx="0">
                  <c:v>OCSVM FP n=3000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PCA!$A$400:$A$474</c:f>
              <c:numCache>
                <c:formatCode>General</c:formatCode>
                <c:ptCount val="7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</c:numCache>
            </c:numRef>
          </c:cat>
          <c:val>
            <c:numRef>
              <c:f>PCA!$K$400:$K$474</c:f>
              <c:numCache>
                <c:formatCode>General</c:formatCode>
                <c:ptCount val="75"/>
                <c:pt idx="0">
                  <c:v>4.9000000000000009E-2</c:v>
                </c:pt>
                <c:pt idx="1">
                  <c:v>2.8000000000000001E-2</c:v>
                </c:pt>
                <c:pt idx="2">
                  <c:v>2.8000000000000001E-2</c:v>
                </c:pt>
                <c:pt idx="3">
                  <c:v>2.5999999999999999E-2</c:v>
                </c:pt>
                <c:pt idx="4">
                  <c:v>2.1000000000000001E-2</c:v>
                </c:pt>
                <c:pt idx="5">
                  <c:v>1.2000000000000002E-2</c:v>
                </c:pt>
                <c:pt idx="6">
                  <c:v>1.6E-2</c:v>
                </c:pt>
                <c:pt idx="7">
                  <c:v>1.9E-2</c:v>
                </c:pt>
                <c:pt idx="8">
                  <c:v>2.3000000000000003E-2</c:v>
                </c:pt>
                <c:pt idx="9">
                  <c:v>2.5999999999999999E-2</c:v>
                </c:pt>
                <c:pt idx="10">
                  <c:v>1.9E-2</c:v>
                </c:pt>
                <c:pt idx="11">
                  <c:v>1.9E-2</c:v>
                </c:pt>
                <c:pt idx="12">
                  <c:v>2.3000000000000003E-2</c:v>
                </c:pt>
                <c:pt idx="13">
                  <c:v>1.9E-2</c:v>
                </c:pt>
                <c:pt idx="14">
                  <c:v>2.1000000000000001E-2</c:v>
                </c:pt>
                <c:pt idx="15">
                  <c:v>1.9E-2</c:v>
                </c:pt>
                <c:pt idx="16">
                  <c:v>1.6E-2</c:v>
                </c:pt>
                <c:pt idx="17">
                  <c:v>1.4E-2</c:v>
                </c:pt>
                <c:pt idx="18">
                  <c:v>1.4E-2</c:v>
                </c:pt>
                <c:pt idx="19">
                  <c:v>1.4E-2</c:v>
                </c:pt>
                <c:pt idx="20">
                  <c:v>1.2000000000000002E-2</c:v>
                </c:pt>
                <c:pt idx="21">
                  <c:v>8.9999999999999993E-3</c:v>
                </c:pt>
                <c:pt idx="22">
                  <c:v>8.9999999999999993E-3</c:v>
                </c:pt>
                <c:pt idx="23">
                  <c:v>7.0000000000000001E-3</c:v>
                </c:pt>
                <c:pt idx="24">
                  <c:v>5.0000000000000001E-3</c:v>
                </c:pt>
                <c:pt idx="25">
                  <c:v>5.0000000000000001E-3</c:v>
                </c:pt>
                <c:pt idx="26">
                  <c:v>5.0000000000000001E-3</c:v>
                </c:pt>
                <c:pt idx="27">
                  <c:v>5.0000000000000001E-3</c:v>
                </c:pt>
                <c:pt idx="28">
                  <c:v>5.0000000000000001E-3</c:v>
                </c:pt>
                <c:pt idx="29">
                  <c:v>2E-3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A02-42F4-838B-9099AF9A6589}"/>
            </c:ext>
          </c:extLst>
        </c:ser>
        <c:ser>
          <c:idx val="10"/>
          <c:order val="10"/>
          <c:tx>
            <c:strRef>
              <c:f>PCA!$L$399</c:f>
              <c:strCache>
                <c:ptCount val="1"/>
                <c:pt idx="0">
                  <c:v>AE n=3000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PCA!$A$400:$A$474</c:f>
              <c:numCache>
                <c:formatCode>General</c:formatCode>
                <c:ptCount val="7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</c:numCache>
            </c:numRef>
          </c:cat>
          <c:val>
            <c:numRef>
              <c:f>PCA!$L$400:$L$474</c:f>
              <c:numCache>
                <c:formatCode>General</c:formatCode>
                <c:ptCount val="75"/>
                <c:pt idx="0">
                  <c:v>8.6046511627906927E-2</c:v>
                </c:pt>
                <c:pt idx="1">
                  <c:v>9.8578811369508926E-2</c:v>
                </c:pt>
                <c:pt idx="2">
                  <c:v>0.11653746770025768</c:v>
                </c:pt>
                <c:pt idx="3">
                  <c:v>0.13643410852713134</c:v>
                </c:pt>
                <c:pt idx="4">
                  <c:v>0.145994832041343</c:v>
                </c:pt>
                <c:pt idx="5">
                  <c:v>0.14315245478036134</c:v>
                </c:pt>
                <c:pt idx="6">
                  <c:v>0.13501291989664035</c:v>
                </c:pt>
                <c:pt idx="7">
                  <c:v>0.121963824289405</c:v>
                </c:pt>
                <c:pt idx="8">
                  <c:v>0.11111111111111056</c:v>
                </c:pt>
                <c:pt idx="9">
                  <c:v>0.11214470284237665</c:v>
                </c:pt>
                <c:pt idx="10">
                  <c:v>0.11098191214470234</c:v>
                </c:pt>
                <c:pt idx="11">
                  <c:v>0.117571059431524</c:v>
                </c:pt>
                <c:pt idx="12">
                  <c:v>0.11899224806201499</c:v>
                </c:pt>
                <c:pt idx="13">
                  <c:v>9.6899224806201459E-2</c:v>
                </c:pt>
                <c:pt idx="14">
                  <c:v>9.6770025839793231E-2</c:v>
                </c:pt>
                <c:pt idx="15">
                  <c:v>9.1214470284237667E-2</c:v>
                </c:pt>
                <c:pt idx="16">
                  <c:v>8.3720930232558124E-2</c:v>
                </c:pt>
                <c:pt idx="17">
                  <c:v>7.7260981912144658E-2</c:v>
                </c:pt>
                <c:pt idx="18">
                  <c:v>7.97157622739018E-2</c:v>
                </c:pt>
                <c:pt idx="19">
                  <c:v>6.8733850129198901E-2</c:v>
                </c:pt>
                <c:pt idx="20">
                  <c:v>6.0077519379844901E-2</c:v>
                </c:pt>
                <c:pt idx="21">
                  <c:v>6.3049095607235095E-2</c:v>
                </c:pt>
                <c:pt idx="22">
                  <c:v>6.2015503875968964E-2</c:v>
                </c:pt>
                <c:pt idx="23">
                  <c:v>5.4134366925064535E-2</c:v>
                </c:pt>
                <c:pt idx="24">
                  <c:v>5.180878552971574E-2</c:v>
                </c:pt>
                <c:pt idx="25">
                  <c:v>4.8837209302325525E-2</c:v>
                </c:pt>
                <c:pt idx="26">
                  <c:v>4.7416020671834563E-2</c:v>
                </c:pt>
                <c:pt idx="27">
                  <c:v>4.5736434108527069E-2</c:v>
                </c:pt>
                <c:pt idx="28">
                  <c:v>4.1860465116279034E-2</c:v>
                </c:pt>
                <c:pt idx="29">
                  <c:v>3.8372093023255768E-2</c:v>
                </c:pt>
                <c:pt idx="30">
                  <c:v>3.6175710594315173E-2</c:v>
                </c:pt>
                <c:pt idx="31">
                  <c:v>3.74677002583979E-2</c:v>
                </c:pt>
                <c:pt idx="32">
                  <c:v>3.5012919896640765E-2</c:v>
                </c:pt>
                <c:pt idx="33">
                  <c:v>3.1782945736434066E-2</c:v>
                </c:pt>
                <c:pt idx="34">
                  <c:v>2.8036175710594264E-2</c:v>
                </c:pt>
                <c:pt idx="35">
                  <c:v>2.7002583979328133E-2</c:v>
                </c:pt>
                <c:pt idx="36">
                  <c:v>2.609819121447023E-2</c:v>
                </c:pt>
                <c:pt idx="37">
                  <c:v>2.2997416020671766E-2</c:v>
                </c:pt>
                <c:pt idx="38">
                  <c:v>2.3772609819121368E-2</c:v>
                </c:pt>
                <c:pt idx="39">
                  <c:v>2.0801033591731233E-2</c:v>
                </c:pt>
                <c:pt idx="40">
                  <c:v>2.1705426356589102E-2</c:v>
                </c:pt>
                <c:pt idx="41">
                  <c:v>2.00258397932816E-2</c:v>
                </c:pt>
                <c:pt idx="42">
                  <c:v>1.6666666666666597E-2</c:v>
                </c:pt>
                <c:pt idx="43">
                  <c:v>1.8217054263565832E-2</c:v>
                </c:pt>
                <c:pt idx="44">
                  <c:v>1.5633074935400466E-2</c:v>
                </c:pt>
                <c:pt idx="45">
                  <c:v>1.6020671834625268E-2</c:v>
                </c:pt>
                <c:pt idx="46">
                  <c:v>1.4470284237726068E-2</c:v>
                </c:pt>
                <c:pt idx="47">
                  <c:v>1.3695090439276468E-2</c:v>
                </c:pt>
                <c:pt idx="48">
                  <c:v>1.2273901808785468E-2</c:v>
                </c:pt>
                <c:pt idx="49">
                  <c:v>1.0594315245477983E-2</c:v>
                </c:pt>
                <c:pt idx="50">
                  <c:v>1.1886304909560668E-2</c:v>
                </c:pt>
                <c:pt idx="51">
                  <c:v>1.0981912144702765E-2</c:v>
                </c:pt>
                <c:pt idx="52">
                  <c:v>1.0335917312661433E-2</c:v>
                </c:pt>
                <c:pt idx="53">
                  <c:v>1.0206718346253201E-2</c:v>
                </c:pt>
                <c:pt idx="54">
                  <c:v>8.397932816537463E-3</c:v>
                </c:pt>
                <c:pt idx="55">
                  <c:v>7.8811369509043886E-3</c:v>
                </c:pt>
                <c:pt idx="56">
                  <c:v>7.751937984496117E-3</c:v>
                </c:pt>
                <c:pt idx="57">
                  <c:v>7.6227390180878497E-3</c:v>
                </c:pt>
                <c:pt idx="58">
                  <c:v>7.1059431524547771E-3</c:v>
                </c:pt>
                <c:pt idx="59">
                  <c:v>5.4263565891472798E-3</c:v>
                </c:pt>
                <c:pt idx="60">
                  <c:v>6.5891472868216993E-3</c:v>
                </c:pt>
                <c:pt idx="61">
                  <c:v>6.0723514211886232E-3</c:v>
                </c:pt>
                <c:pt idx="62">
                  <c:v>5.4263565891472833E-3</c:v>
                </c:pt>
                <c:pt idx="63">
                  <c:v>4.5219638242894001E-3</c:v>
                </c:pt>
                <c:pt idx="64">
                  <c:v>4.1343669250645939E-3</c:v>
                </c:pt>
                <c:pt idx="65">
                  <c:v>4.005167958656324E-3</c:v>
                </c:pt>
                <c:pt idx="66">
                  <c:v>4.2635658914728638E-3</c:v>
                </c:pt>
                <c:pt idx="67">
                  <c:v>3.8759689922480568E-3</c:v>
                </c:pt>
                <c:pt idx="68">
                  <c:v>2.7131782945736364E-3</c:v>
                </c:pt>
                <c:pt idx="69">
                  <c:v>3.4883720930232501E-3</c:v>
                </c:pt>
                <c:pt idx="70">
                  <c:v>3.3591731266149802E-3</c:v>
                </c:pt>
                <c:pt idx="71">
                  <c:v>2.8423772609819063E-3</c:v>
                </c:pt>
                <c:pt idx="72">
                  <c:v>2.1963824289405669E-3</c:v>
                </c:pt>
                <c:pt idx="73">
                  <c:v>2.5839793281653665E-3</c:v>
                </c:pt>
                <c:pt idx="74">
                  <c:v>2.4547803617571001E-3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A02-42F4-838B-9099AF9A6589}"/>
            </c:ext>
          </c:extLst>
        </c:ser>
        <c:ser>
          <c:idx val="11"/>
          <c:order val="11"/>
          <c:tx>
            <c:strRef>
              <c:f>PCA!$M$399</c:f>
              <c:strCache>
                <c:ptCount val="1"/>
                <c:pt idx="0">
                  <c:v>IF n=3000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PCA!$A$400:$A$474</c:f>
              <c:numCache>
                <c:formatCode>General</c:formatCode>
                <c:ptCount val="7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</c:numCache>
            </c:numRef>
          </c:cat>
          <c:val>
            <c:numRef>
              <c:f>PCA!$M$400:$M$474</c:f>
              <c:numCache>
                <c:formatCode>General</c:formatCode>
                <c:ptCount val="75"/>
                <c:pt idx="0">
                  <c:v>7.3992000000000002E-2</c:v>
                </c:pt>
                <c:pt idx="1">
                  <c:v>7.2054000000000007E-2</c:v>
                </c:pt>
                <c:pt idx="2">
                  <c:v>6.7403000000000005E-2</c:v>
                </c:pt>
                <c:pt idx="3">
                  <c:v>6.0814E-2</c:v>
                </c:pt>
                <c:pt idx="4">
                  <c:v>5.8488000000000005E-2</c:v>
                </c:pt>
                <c:pt idx="5">
                  <c:v>5.5E-2</c:v>
                </c:pt>
                <c:pt idx="6">
                  <c:v>5.9264000000000004E-2</c:v>
                </c:pt>
                <c:pt idx="7">
                  <c:v>5.655000000000001E-2</c:v>
                </c:pt>
                <c:pt idx="8">
                  <c:v>4.9960999999999998E-2</c:v>
                </c:pt>
                <c:pt idx="9">
                  <c:v>5.3061999999999998E-2</c:v>
                </c:pt>
                <c:pt idx="10">
                  <c:v>5.1124000000000003E-2</c:v>
                </c:pt>
                <c:pt idx="11">
                  <c:v>4.3372000000000001E-2</c:v>
                </c:pt>
                <c:pt idx="12">
                  <c:v>4.4146999999999999E-2</c:v>
                </c:pt>
                <c:pt idx="13">
                  <c:v>4.1047E-2</c:v>
                </c:pt>
                <c:pt idx="14">
                  <c:v>3.8720999999999998E-2</c:v>
                </c:pt>
                <c:pt idx="15">
                  <c:v>3.6007999999999998E-2</c:v>
                </c:pt>
                <c:pt idx="16">
                  <c:v>3.6783000000000003E-2</c:v>
                </c:pt>
                <c:pt idx="17">
                  <c:v>3.2132000000000001E-2</c:v>
                </c:pt>
                <c:pt idx="18">
                  <c:v>3.2518999999999999E-2</c:v>
                </c:pt>
                <c:pt idx="19">
                  <c:v>3.0581000000000001E-2</c:v>
                </c:pt>
                <c:pt idx="20">
                  <c:v>3.1744000000000001E-2</c:v>
                </c:pt>
                <c:pt idx="21">
                  <c:v>2.7092999999999996E-2</c:v>
                </c:pt>
                <c:pt idx="22">
                  <c:v>2.5929999999999998E-2</c:v>
                </c:pt>
                <c:pt idx="23">
                  <c:v>2.3991999999999999E-2</c:v>
                </c:pt>
                <c:pt idx="24">
                  <c:v>2.0504000000000001E-2</c:v>
                </c:pt>
                <c:pt idx="25">
                  <c:v>2.2442E-2</c:v>
                </c:pt>
                <c:pt idx="26">
                  <c:v>2.3605000000000001E-2</c:v>
                </c:pt>
                <c:pt idx="27">
                  <c:v>1.8565999999999999E-2</c:v>
                </c:pt>
                <c:pt idx="28">
                  <c:v>1.8565999999999999E-2</c:v>
                </c:pt>
                <c:pt idx="29">
                  <c:v>2.0504000000000001E-2</c:v>
                </c:pt>
                <c:pt idx="30">
                  <c:v>1.7016E-2</c:v>
                </c:pt>
                <c:pt idx="31">
                  <c:v>1.6628E-2</c:v>
                </c:pt>
                <c:pt idx="32">
                  <c:v>1.7016E-2</c:v>
                </c:pt>
                <c:pt idx="33">
                  <c:v>1.5465E-2</c:v>
                </c:pt>
                <c:pt idx="34">
                  <c:v>1.1977E-2</c:v>
                </c:pt>
                <c:pt idx="35">
                  <c:v>1.2364E-2</c:v>
                </c:pt>
                <c:pt idx="36">
                  <c:v>1.1589E-2</c:v>
                </c:pt>
                <c:pt idx="37">
                  <c:v>8.8760000000000002E-3</c:v>
                </c:pt>
                <c:pt idx="38">
                  <c:v>1.1201999999999998E-2</c:v>
                </c:pt>
                <c:pt idx="39">
                  <c:v>1.2364E-2</c:v>
                </c:pt>
                <c:pt idx="40">
                  <c:v>1.0426E-2</c:v>
                </c:pt>
                <c:pt idx="41">
                  <c:v>1.0038999999999999E-2</c:v>
                </c:pt>
                <c:pt idx="42">
                  <c:v>1.0038999999999999E-2</c:v>
                </c:pt>
                <c:pt idx="43">
                  <c:v>1.0038999999999999E-2</c:v>
                </c:pt>
                <c:pt idx="44">
                  <c:v>1.0038999999999999E-2</c:v>
                </c:pt>
                <c:pt idx="45">
                  <c:v>8.8760000000000002E-3</c:v>
                </c:pt>
                <c:pt idx="46">
                  <c:v>7.7130000000000002E-3</c:v>
                </c:pt>
                <c:pt idx="47">
                  <c:v>8.4880000000000008E-3</c:v>
                </c:pt>
                <c:pt idx="48">
                  <c:v>7.326E-3</c:v>
                </c:pt>
                <c:pt idx="49">
                  <c:v>8.4880000000000008E-3</c:v>
                </c:pt>
                <c:pt idx="50">
                  <c:v>8.1010000000000006E-3</c:v>
                </c:pt>
                <c:pt idx="51">
                  <c:v>7.7130000000000002E-3</c:v>
                </c:pt>
                <c:pt idx="52">
                  <c:v>8.8760000000000002E-3</c:v>
                </c:pt>
                <c:pt idx="53">
                  <c:v>7.326E-3</c:v>
                </c:pt>
                <c:pt idx="54">
                  <c:v>7.326E-3</c:v>
                </c:pt>
                <c:pt idx="55">
                  <c:v>7.326E-3</c:v>
                </c:pt>
                <c:pt idx="56">
                  <c:v>8.1010000000000006E-3</c:v>
                </c:pt>
                <c:pt idx="57">
                  <c:v>6.9379999999999997E-3</c:v>
                </c:pt>
                <c:pt idx="58">
                  <c:v>7.326E-3</c:v>
                </c:pt>
                <c:pt idx="59">
                  <c:v>6.5500000000000003E-3</c:v>
                </c:pt>
                <c:pt idx="60">
                  <c:v>6.5500000000000003E-3</c:v>
                </c:pt>
                <c:pt idx="61">
                  <c:v>5.7749999999999998E-3</c:v>
                </c:pt>
                <c:pt idx="62">
                  <c:v>6.1629999999999992E-3</c:v>
                </c:pt>
                <c:pt idx="63">
                  <c:v>6.5500000000000003E-3</c:v>
                </c:pt>
                <c:pt idx="64">
                  <c:v>5.7749999999999998E-3</c:v>
                </c:pt>
                <c:pt idx="65">
                  <c:v>5.7749999999999998E-3</c:v>
                </c:pt>
                <c:pt idx="66">
                  <c:v>5.3880000000000004E-3</c:v>
                </c:pt>
                <c:pt idx="67">
                  <c:v>5.3880000000000004E-3</c:v>
                </c:pt>
                <c:pt idx="68">
                  <c:v>5.7749999999999998E-3</c:v>
                </c:pt>
                <c:pt idx="69">
                  <c:v>5.3880000000000004E-3</c:v>
                </c:pt>
                <c:pt idx="70">
                  <c:v>6.1629999999999992E-3</c:v>
                </c:pt>
                <c:pt idx="71">
                  <c:v>5.0000000000000001E-3</c:v>
                </c:pt>
                <c:pt idx="72">
                  <c:v>5.7749999999999998E-3</c:v>
                </c:pt>
                <c:pt idx="73">
                  <c:v>5.3880000000000004E-3</c:v>
                </c:pt>
                <c:pt idx="74">
                  <c:v>5.3880000000000004E-3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A02-42F4-838B-9099AF9A6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0769040"/>
        <c:axId val="1370768560"/>
      </c:lineChart>
      <c:catAx>
        <c:axId val="137076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768560"/>
        <c:crosses val="autoZero"/>
        <c:auto val="1"/>
        <c:lblAlgn val="ctr"/>
        <c:lblOffset val="100"/>
        <c:noMultiLvlLbl val="0"/>
      </c:catAx>
      <c:valAx>
        <c:axId val="137076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76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CP!$B$322</c:f>
              <c:strCache>
                <c:ptCount val="1"/>
                <c:pt idx="0">
                  <c:v>OCSVM n=500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CP!$B$323:$B$397</c:f>
              <c:numCache>
                <c:formatCode>General</c:formatCode>
                <c:ptCount val="75"/>
                <c:pt idx="0">
                  <c:v>4.2666666666666665E-2</c:v>
                </c:pt>
                <c:pt idx="1">
                  <c:v>0.03</c:v>
                </c:pt>
                <c:pt idx="2">
                  <c:v>4.3333333333333335E-2</c:v>
                </c:pt>
                <c:pt idx="3">
                  <c:v>2.6666666666666668E-2</c:v>
                </c:pt>
                <c:pt idx="4">
                  <c:v>4.9666666666666671E-2</c:v>
                </c:pt>
                <c:pt idx="5">
                  <c:v>4.9666666666666671E-2</c:v>
                </c:pt>
                <c:pt idx="6">
                  <c:v>5.9333333333333328E-2</c:v>
                </c:pt>
                <c:pt idx="7">
                  <c:v>4.6333333333333337E-2</c:v>
                </c:pt>
                <c:pt idx="8">
                  <c:v>5.9333333333333342E-2</c:v>
                </c:pt>
                <c:pt idx="9">
                  <c:v>5.6333333333333326E-2</c:v>
                </c:pt>
                <c:pt idx="10">
                  <c:v>6.2666666666666662E-2</c:v>
                </c:pt>
                <c:pt idx="11">
                  <c:v>6.2666666666666662E-2</c:v>
                </c:pt>
                <c:pt idx="12">
                  <c:v>0.11233333333333334</c:v>
                </c:pt>
                <c:pt idx="13">
                  <c:v>0.15500000000000003</c:v>
                </c:pt>
                <c:pt idx="14">
                  <c:v>0.16800000000000001</c:v>
                </c:pt>
                <c:pt idx="15">
                  <c:v>0.21133333333333329</c:v>
                </c:pt>
                <c:pt idx="16">
                  <c:v>0.20800000000000005</c:v>
                </c:pt>
                <c:pt idx="17">
                  <c:v>0.25733333333333336</c:v>
                </c:pt>
                <c:pt idx="18">
                  <c:v>0.28699999999999998</c:v>
                </c:pt>
                <c:pt idx="19">
                  <c:v>0.307</c:v>
                </c:pt>
                <c:pt idx="20">
                  <c:v>0.3036666666666667</c:v>
                </c:pt>
                <c:pt idx="21">
                  <c:v>0.33033333333333337</c:v>
                </c:pt>
                <c:pt idx="22">
                  <c:v>0.36000000000000004</c:v>
                </c:pt>
                <c:pt idx="23">
                  <c:v>0.36333333333333329</c:v>
                </c:pt>
                <c:pt idx="24">
                  <c:v>0.3793333333333333</c:v>
                </c:pt>
                <c:pt idx="25">
                  <c:v>0.42266666666666669</c:v>
                </c:pt>
                <c:pt idx="26">
                  <c:v>0.45233333333333331</c:v>
                </c:pt>
                <c:pt idx="27">
                  <c:v>0.44566666666666666</c:v>
                </c:pt>
                <c:pt idx="28">
                  <c:v>0.46233333333333332</c:v>
                </c:pt>
                <c:pt idx="29">
                  <c:v>0.50166666666666659</c:v>
                </c:pt>
                <c:pt idx="30">
                  <c:v>0.53799999999999992</c:v>
                </c:pt>
                <c:pt idx="31">
                  <c:v>0.56400000000000006</c:v>
                </c:pt>
                <c:pt idx="32">
                  <c:v>0.58733333333333337</c:v>
                </c:pt>
                <c:pt idx="33">
                  <c:v>0.60733333333333339</c:v>
                </c:pt>
                <c:pt idx="34">
                  <c:v>0.63700000000000001</c:v>
                </c:pt>
                <c:pt idx="35">
                  <c:v>0.65333333333333332</c:v>
                </c:pt>
                <c:pt idx="36">
                  <c:v>0.69633333333333336</c:v>
                </c:pt>
                <c:pt idx="37">
                  <c:v>0.69633333333333336</c:v>
                </c:pt>
                <c:pt idx="38">
                  <c:v>0.70633333333333337</c:v>
                </c:pt>
                <c:pt idx="39">
                  <c:v>0.73933333333333329</c:v>
                </c:pt>
                <c:pt idx="40">
                  <c:v>0.76200000000000001</c:v>
                </c:pt>
                <c:pt idx="41">
                  <c:v>0.77199999999999991</c:v>
                </c:pt>
                <c:pt idx="42">
                  <c:v>0.80200000000000005</c:v>
                </c:pt>
                <c:pt idx="43">
                  <c:v>0.80200000000000005</c:v>
                </c:pt>
                <c:pt idx="44">
                  <c:v>0.84799999999999998</c:v>
                </c:pt>
                <c:pt idx="45">
                  <c:v>0.83166666666666667</c:v>
                </c:pt>
                <c:pt idx="46">
                  <c:v>0.84833333333333327</c:v>
                </c:pt>
                <c:pt idx="47">
                  <c:v>0.85466666666666669</c:v>
                </c:pt>
                <c:pt idx="48">
                  <c:v>0.85799999999999998</c:v>
                </c:pt>
                <c:pt idx="49">
                  <c:v>0.86133333333333317</c:v>
                </c:pt>
                <c:pt idx="50">
                  <c:v>0.8746666666666667</c:v>
                </c:pt>
                <c:pt idx="51">
                  <c:v>0.88099999999999989</c:v>
                </c:pt>
                <c:pt idx="52">
                  <c:v>0.88766666666666671</c:v>
                </c:pt>
                <c:pt idx="53">
                  <c:v>0.8843333333333333</c:v>
                </c:pt>
                <c:pt idx="54">
                  <c:v>0.89100000000000001</c:v>
                </c:pt>
                <c:pt idx="55">
                  <c:v>0.89433333333333331</c:v>
                </c:pt>
                <c:pt idx="56">
                  <c:v>0.89766666666666672</c:v>
                </c:pt>
                <c:pt idx="57">
                  <c:v>0.89766666666666672</c:v>
                </c:pt>
                <c:pt idx="58">
                  <c:v>0.89766666666666672</c:v>
                </c:pt>
                <c:pt idx="59">
                  <c:v>1</c:v>
                </c:pt>
                <c:pt idx="60">
                  <c:v>0.89766666666666672</c:v>
                </c:pt>
                <c:pt idx="61">
                  <c:v>0.89766666666666672</c:v>
                </c:pt>
                <c:pt idx="62">
                  <c:v>0.90100000000000013</c:v>
                </c:pt>
                <c:pt idx="63">
                  <c:v>0.90100000000000013</c:v>
                </c:pt>
                <c:pt idx="64">
                  <c:v>0.90766666666666662</c:v>
                </c:pt>
                <c:pt idx="65">
                  <c:v>0.90766666666666662</c:v>
                </c:pt>
                <c:pt idx="66">
                  <c:v>0.92099999999999993</c:v>
                </c:pt>
                <c:pt idx="67">
                  <c:v>0.94099999999999995</c:v>
                </c:pt>
                <c:pt idx="68">
                  <c:v>0.93100000000000005</c:v>
                </c:pt>
                <c:pt idx="69">
                  <c:v>0.97000000000000008</c:v>
                </c:pt>
                <c:pt idx="70">
                  <c:v>0.96</c:v>
                </c:pt>
                <c:pt idx="71">
                  <c:v>0.95333333333333325</c:v>
                </c:pt>
                <c:pt idx="72">
                  <c:v>0.98333333333333339</c:v>
                </c:pt>
                <c:pt idx="73">
                  <c:v>0.96333333333333326</c:v>
                </c:pt>
                <c:pt idx="74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C-4BF3-82F6-EBDE85F6C6B6}"/>
            </c:ext>
          </c:extLst>
        </c:ser>
        <c:ser>
          <c:idx val="1"/>
          <c:order val="1"/>
          <c:tx>
            <c:strRef>
              <c:f>CP!$C$322</c:f>
              <c:strCache>
                <c:ptCount val="1"/>
                <c:pt idx="0">
                  <c:v>AE n=500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CP!$C$323:$C$397</c:f>
              <c:numCache>
                <c:formatCode>General</c:formatCode>
                <c:ptCount val="75"/>
                <c:pt idx="0">
                  <c:v>0.16281628162816233</c:v>
                </c:pt>
                <c:pt idx="1">
                  <c:v>0.26677667766776603</c:v>
                </c:pt>
                <c:pt idx="2">
                  <c:v>0.33608360836083567</c:v>
                </c:pt>
                <c:pt idx="3">
                  <c:v>0.25467546754675402</c:v>
                </c:pt>
                <c:pt idx="4">
                  <c:v>0.32453245324532398</c:v>
                </c:pt>
                <c:pt idx="5">
                  <c:v>0.22112211221122066</c:v>
                </c:pt>
                <c:pt idx="6">
                  <c:v>0.211221122112211</c:v>
                </c:pt>
                <c:pt idx="7">
                  <c:v>0.22167216721672134</c:v>
                </c:pt>
                <c:pt idx="8">
                  <c:v>0.19856985698569798</c:v>
                </c:pt>
                <c:pt idx="9">
                  <c:v>0.16006600660065964</c:v>
                </c:pt>
                <c:pt idx="10">
                  <c:v>0.14631463146314566</c:v>
                </c:pt>
                <c:pt idx="11">
                  <c:v>0.16941694169416865</c:v>
                </c:pt>
                <c:pt idx="12">
                  <c:v>0.19251925192519201</c:v>
                </c:pt>
                <c:pt idx="13">
                  <c:v>0.24257425742574198</c:v>
                </c:pt>
                <c:pt idx="14">
                  <c:v>0.24807480748074764</c:v>
                </c:pt>
                <c:pt idx="15">
                  <c:v>0.26182618261826129</c:v>
                </c:pt>
                <c:pt idx="16">
                  <c:v>0.25962596259625903</c:v>
                </c:pt>
                <c:pt idx="17">
                  <c:v>0.27557755775577503</c:v>
                </c:pt>
                <c:pt idx="18">
                  <c:v>0.29592959295929533</c:v>
                </c:pt>
                <c:pt idx="19">
                  <c:v>0.33003300330032936</c:v>
                </c:pt>
                <c:pt idx="20">
                  <c:v>0.33333333333333265</c:v>
                </c:pt>
                <c:pt idx="21">
                  <c:v>0.34708470847084633</c:v>
                </c:pt>
                <c:pt idx="22">
                  <c:v>0.3740374037403737</c:v>
                </c:pt>
                <c:pt idx="23">
                  <c:v>0.38393839383938327</c:v>
                </c:pt>
                <c:pt idx="24">
                  <c:v>0.39053905390538995</c:v>
                </c:pt>
                <c:pt idx="25">
                  <c:v>0.44169416941694095</c:v>
                </c:pt>
                <c:pt idx="26">
                  <c:v>0.46809680968096767</c:v>
                </c:pt>
                <c:pt idx="27">
                  <c:v>0.45049504950495001</c:v>
                </c:pt>
                <c:pt idx="28">
                  <c:v>0.47579757975797526</c:v>
                </c:pt>
                <c:pt idx="29">
                  <c:v>0.51595159515951561</c:v>
                </c:pt>
                <c:pt idx="30">
                  <c:v>0.54895489548954868</c:v>
                </c:pt>
                <c:pt idx="31">
                  <c:v>0.57260726072607238</c:v>
                </c:pt>
                <c:pt idx="32">
                  <c:v>0.58910891089108841</c:v>
                </c:pt>
                <c:pt idx="33">
                  <c:v>0.61771177117711729</c:v>
                </c:pt>
                <c:pt idx="34">
                  <c:v>0.63971397139713926</c:v>
                </c:pt>
                <c:pt idx="35">
                  <c:v>0.65786578657865735</c:v>
                </c:pt>
                <c:pt idx="36">
                  <c:v>0.69636963696369569</c:v>
                </c:pt>
                <c:pt idx="37">
                  <c:v>0.69746974697469744</c:v>
                </c:pt>
                <c:pt idx="38">
                  <c:v>0.70352035203520302</c:v>
                </c:pt>
                <c:pt idx="39">
                  <c:v>0.72827282728272769</c:v>
                </c:pt>
                <c:pt idx="40">
                  <c:v>0.75302530253025279</c:v>
                </c:pt>
                <c:pt idx="41">
                  <c:v>0.77392739273927369</c:v>
                </c:pt>
                <c:pt idx="42">
                  <c:v>0.78547854785478499</c:v>
                </c:pt>
                <c:pt idx="43">
                  <c:v>0.79152915291529113</c:v>
                </c:pt>
                <c:pt idx="44">
                  <c:v>0.84983498349834974</c:v>
                </c:pt>
                <c:pt idx="45">
                  <c:v>0.8305830583058299</c:v>
                </c:pt>
                <c:pt idx="46">
                  <c:v>0.84103410341034068</c:v>
                </c:pt>
                <c:pt idx="47">
                  <c:v>0.84708470847084705</c:v>
                </c:pt>
                <c:pt idx="48">
                  <c:v>0.85588558855885566</c:v>
                </c:pt>
                <c:pt idx="49">
                  <c:v>0.86248624862486201</c:v>
                </c:pt>
                <c:pt idx="50">
                  <c:v>0.87183718371837171</c:v>
                </c:pt>
                <c:pt idx="51">
                  <c:v>0.87953795379537902</c:v>
                </c:pt>
                <c:pt idx="52">
                  <c:v>0.887238723872387</c:v>
                </c:pt>
                <c:pt idx="53">
                  <c:v>0.88503850385038507</c:v>
                </c:pt>
                <c:pt idx="54">
                  <c:v>0.88668866886688669</c:v>
                </c:pt>
                <c:pt idx="55">
                  <c:v>0.894389438943894</c:v>
                </c:pt>
                <c:pt idx="56">
                  <c:v>0.89768976897689734</c:v>
                </c:pt>
                <c:pt idx="57">
                  <c:v>0.89768976897689734</c:v>
                </c:pt>
                <c:pt idx="58">
                  <c:v>0.89768976897689734</c:v>
                </c:pt>
                <c:pt idx="59">
                  <c:v>1</c:v>
                </c:pt>
                <c:pt idx="60">
                  <c:v>0.89768976897689734</c:v>
                </c:pt>
                <c:pt idx="61">
                  <c:v>0.89768976897689734</c:v>
                </c:pt>
                <c:pt idx="62">
                  <c:v>0.89823982398239799</c:v>
                </c:pt>
                <c:pt idx="63">
                  <c:v>0.90099009900990057</c:v>
                </c:pt>
                <c:pt idx="64">
                  <c:v>0.90759075907590692</c:v>
                </c:pt>
                <c:pt idx="65">
                  <c:v>0.90814081408140723</c:v>
                </c:pt>
                <c:pt idx="66">
                  <c:v>0.92134213421342059</c:v>
                </c:pt>
                <c:pt idx="67">
                  <c:v>0.93839383938393794</c:v>
                </c:pt>
                <c:pt idx="68">
                  <c:v>0.92739273927392674</c:v>
                </c:pt>
                <c:pt idx="69">
                  <c:v>0.96259625962596196</c:v>
                </c:pt>
                <c:pt idx="70">
                  <c:v>0.95819581958195765</c:v>
                </c:pt>
                <c:pt idx="71">
                  <c:v>0.94829482948294774</c:v>
                </c:pt>
                <c:pt idx="72">
                  <c:v>0.98349834983498319</c:v>
                </c:pt>
                <c:pt idx="73">
                  <c:v>0.96259625962596207</c:v>
                </c:pt>
                <c:pt idx="74">
                  <c:v>0.98019801980197985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C-4BF3-82F6-EBDE85F6C6B6}"/>
            </c:ext>
          </c:extLst>
        </c:ser>
        <c:ser>
          <c:idx val="2"/>
          <c:order val="2"/>
          <c:tx>
            <c:strRef>
              <c:f>CP!$D$322</c:f>
              <c:strCache>
                <c:ptCount val="1"/>
                <c:pt idx="0">
                  <c:v>IF n=500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CP!$D$323:$D$397</c:f>
              <c:numCache>
                <c:formatCode>General</c:formatCode>
                <c:ptCount val="75"/>
                <c:pt idx="0">
                  <c:v>2.4251999999999999E-2</c:v>
                </c:pt>
                <c:pt idx="1">
                  <c:v>1.7101000000000002E-2</c:v>
                </c:pt>
                <c:pt idx="2">
                  <c:v>1.8751333333333332E-2</c:v>
                </c:pt>
                <c:pt idx="3">
                  <c:v>1.6567666666666665E-2</c:v>
                </c:pt>
                <c:pt idx="4">
                  <c:v>2.5351666666666665E-2</c:v>
                </c:pt>
                <c:pt idx="5">
                  <c:v>3.2502666666666673E-2</c:v>
                </c:pt>
                <c:pt idx="6">
                  <c:v>2.9752333333333335E-2</c:v>
                </c:pt>
                <c:pt idx="7">
                  <c:v>2.810233333333333E-2</c:v>
                </c:pt>
                <c:pt idx="8">
                  <c:v>3.2536000000000002E-2</c:v>
                </c:pt>
                <c:pt idx="9">
                  <c:v>3.4152999999999996E-2</c:v>
                </c:pt>
                <c:pt idx="10">
                  <c:v>3.0852666666666667E-2</c:v>
                </c:pt>
                <c:pt idx="11">
                  <c:v>3.526933333333334E-2</c:v>
                </c:pt>
                <c:pt idx="12">
                  <c:v>3.1953000000000002E-2</c:v>
                </c:pt>
                <c:pt idx="13">
                  <c:v>5.1204666666666669E-2</c:v>
                </c:pt>
                <c:pt idx="14">
                  <c:v>4.4603999999999998E-2</c:v>
                </c:pt>
                <c:pt idx="15">
                  <c:v>6.4956E-2</c:v>
                </c:pt>
                <c:pt idx="16">
                  <c:v>4.7354333333333332E-2</c:v>
                </c:pt>
                <c:pt idx="17">
                  <c:v>5.4504999999999998E-2</c:v>
                </c:pt>
                <c:pt idx="18">
                  <c:v>6.2755666666666668E-2</c:v>
                </c:pt>
                <c:pt idx="19">
                  <c:v>8.4208000000000005E-2</c:v>
                </c:pt>
                <c:pt idx="20">
                  <c:v>5.0104333333333327E-2</c:v>
                </c:pt>
                <c:pt idx="21">
                  <c:v>6.9906333333333334E-2</c:v>
                </c:pt>
                <c:pt idx="22">
                  <c:v>9.3009000000000008E-2</c:v>
                </c:pt>
                <c:pt idx="23">
                  <c:v>8.4758E-2</c:v>
                </c:pt>
                <c:pt idx="24">
                  <c:v>0.10180966666666667</c:v>
                </c:pt>
                <c:pt idx="25">
                  <c:v>0.10237633333333333</c:v>
                </c:pt>
                <c:pt idx="26">
                  <c:v>0.12051133333333335</c:v>
                </c:pt>
                <c:pt idx="27">
                  <c:v>0.16616600000000001</c:v>
                </c:pt>
                <c:pt idx="28">
                  <c:v>0.14031366666666667</c:v>
                </c:pt>
                <c:pt idx="29">
                  <c:v>0.17001633333333332</c:v>
                </c:pt>
                <c:pt idx="30">
                  <c:v>0.19091866666666668</c:v>
                </c:pt>
                <c:pt idx="31">
                  <c:v>0.21787133333333333</c:v>
                </c:pt>
                <c:pt idx="32">
                  <c:v>0.27342700000000003</c:v>
                </c:pt>
                <c:pt idx="33">
                  <c:v>0.26242566666666667</c:v>
                </c:pt>
                <c:pt idx="34">
                  <c:v>0.29487899999999995</c:v>
                </c:pt>
                <c:pt idx="35">
                  <c:v>0.27727733333333332</c:v>
                </c:pt>
                <c:pt idx="36">
                  <c:v>0.27947766666666668</c:v>
                </c:pt>
                <c:pt idx="37">
                  <c:v>0.34218366666666666</c:v>
                </c:pt>
                <c:pt idx="38">
                  <c:v>0.31358066666666667</c:v>
                </c:pt>
                <c:pt idx="39">
                  <c:v>0.35373500000000008</c:v>
                </c:pt>
                <c:pt idx="40">
                  <c:v>0.44669433333333336</c:v>
                </c:pt>
                <c:pt idx="41">
                  <c:v>0.43899333333333335</c:v>
                </c:pt>
                <c:pt idx="42">
                  <c:v>0.40928999999999999</c:v>
                </c:pt>
                <c:pt idx="43">
                  <c:v>0.43844333333333335</c:v>
                </c:pt>
                <c:pt idx="44">
                  <c:v>0.59960933333333333</c:v>
                </c:pt>
                <c:pt idx="45">
                  <c:v>0.47804733333333332</c:v>
                </c:pt>
                <c:pt idx="46">
                  <c:v>0.53030233333333332</c:v>
                </c:pt>
                <c:pt idx="47">
                  <c:v>0.55615499999999995</c:v>
                </c:pt>
                <c:pt idx="48">
                  <c:v>0.54625433333333329</c:v>
                </c:pt>
                <c:pt idx="49">
                  <c:v>0.64141366666666666</c:v>
                </c:pt>
                <c:pt idx="50">
                  <c:v>0.7002693333333333</c:v>
                </c:pt>
                <c:pt idx="51">
                  <c:v>0.61226066666666668</c:v>
                </c:pt>
                <c:pt idx="52">
                  <c:v>0.72942233333333328</c:v>
                </c:pt>
                <c:pt idx="53">
                  <c:v>0.71127066666666661</c:v>
                </c:pt>
                <c:pt idx="54">
                  <c:v>0.71292100000000003</c:v>
                </c:pt>
                <c:pt idx="55">
                  <c:v>0.74812433333333328</c:v>
                </c:pt>
                <c:pt idx="56">
                  <c:v>0.74042366666666659</c:v>
                </c:pt>
                <c:pt idx="57">
                  <c:v>0.78387799999999996</c:v>
                </c:pt>
                <c:pt idx="58">
                  <c:v>0.76022533333333342</c:v>
                </c:pt>
                <c:pt idx="59">
                  <c:v>0.92139166666666661</c:v>
                </c:pt>
                <c:pt idx="60">
                  <c:v>0.82513199999999998</c:v>
                </c:pt>
                <c:pt idx="61">
                  <c:v>0.83173299999999994</c:v>
                </c:pt>
                <c:pt idx="62">
                  <c:v>0.83723333333333327</c:v>
                </c:pt>
                <c:pt idx="63">
                  <c:v>0.85978533333333329</c:v>
                </c:pt>
                <c:pt idx="64">
                  <c:v>0.8707866666666666</c:v>
                </c:pt>
                <c:pt idx="65">
                  <c:v>0.87518700000000005</c:v>
                </c:pt>
                <c:pt idx="66">
                  <c:v>0.8812376666666667</c:v>
                </c:pt>
                <c:pt idx="67">
                  <c:v>0.87683700000000009</c:v>
                </c:pt>
                <c:pt idx="68">
                  <c:v>0.86748633333333325</c:v>
                </c:pt>
                <c:pt idx="69">
                  <c:v>0.89113866666666663</c:v>
                </c:pt>
                <c:pt idx="70">
                  <c:v>0.883988</c:v>
                </c:pt>
                <c:pt idx="71">
                  <c:v>0.88783833333333328</c:v>
                </c:pt>
                <c:pt idx="72">
                  <c:v>0.89003833333333338</c:v>
                </c:pt>
                <c:pt idx="73">
                  <c:v>0.88728799999999997</c:v>
                </c:pt>
                <c:pt idx="74">
                  <c:v>0.89498866666666654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C-4BF3-82F6-EBDE85F6C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7369040"/>
        <c:axId val="857368560"/>
      </c:lineChart>
      <c:catAx>
        <c:axId val="85736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68560"/>
        <c:crosses val="autoZero"/>
        <c:auto val="1"/>
        <c:lblAlgn val="ctr"/>
        <c:lblOffset val="100"/>
        <c:noMultiLvlLbl val="0"/>
      </c:catAx>
      <c:valAx>
        <c:axId val="85736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6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CP!$E$322</c:f>
              <c:strCache>
                <c:ptCount val="1"/>
                <c:pt idx="0">
                  <c:v>OCSVM n=1000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CP!$E$323:$E$397</c:f>
              <c:numCache>
                <c:formatCode>General</c:formatCode>
                <c:ptCount val="75"/>
                <c:pt idx="0">
                  <c:v>3.3333333333333333E-2</c:v>
                </c:pt>
                <c:pt idx="1">
                  <c:v>1.8333333333333337E-2</c:v>
                </c:pt>
                <c:pt idx="2">
                  <c:v>4.3333333333333335E-2</c:v>
                </c:pt>
                <c:pt idx="3">
                  <c:v>0.03</c:v>
                </c:pt>
                <c:pt idx="4">
                  <c:v>4.3333333333333335E-2</c:v>
                </c:pt>
                <c:pt idx="5">
                  <c:v>4.8333333333333339E-2</c:v>
                </c:pt>
                <c:pt idx="6">
                  <c:v>5.3333333333333337E-2</c:v>
                </c:pt>
                <c:pt idx="7">
                  <c:v>5.6666666666666664E-2</c:v>
                </c:pt>
                <c:pt idx="8">
                  <c:v>3.5000000000000003E-2</c:v>
                </c:pt>
                <c:pt idx="9">
                  <c:v>0.03</c:v>
                </c:pt>
                <c:pt idx="10">
                  <c:v>3.6666666666666674E-2</c:v>
                </c:pt>
                <c:pt idx="11">
                  <c:v>2.8333333333333335E-2</c:v>
                </c:pt>
                <c:pt idx="12">
                  <c:v>3.6666666666666667E-2</c:v>
                </c:pt>
                <c:pt idx="13">
                  <c:v>3.1666666666666669E-2</c:v>
                </c:pt>
                <c:pt idx="14">
                  <c:v>3.6666666666666667E-2</c:v>
                </c:pt>
                <c:pt idx="15">
                  <c:v>0.04</c:v>
                </c:pt>
                <c:pt idx="16">
                  <c:v>3.8333333333333337E-2</c:v>
                </c:pt>
                <c:pt idx="17">
                  <c:v>5.6666666666666671E-2</c:v>
                </c:pt>
                <c:pt idx="18">
                  <c:v>8.3333333333333329E-2</c:v>
                </c:pt>
                <c:pt idx="19">
                  <c:v>8.8333333333333333E-2</c:v>
                </c:pt>
                <c:pt idx="20">
                  <c:v>7.3333333333333334E-2</c:v>
                </c:pt>
                <c:pt idx="21">
                  <c:v>9.799999999999999E-2</c:v>
                </c:pt>
                <c:pt idx="22">
                  <c:v>9.9333333333333329E-2</c:v>
                </c:pt>
                <c:pt idx="23">
                  <c:v>0.124</c:v>
                </c:pt>
                <c:pt idx="24">
                  <c:v>0.11766666666666666</c:v>
                </c:pt>
                <c:pt idx="25">
                  <c:v>0.12733333333333333</c:v>
                </c:pt>
                <c:pt idx="26">
                  <c:v>0.14899999999999999</c:v>
                </c:pt>
                <c:pt idx="27">
                  <c:v>0.16233333333333333</c:v>
                </c:pt>
                <c:pt idx="28">
                  <c:v>0.15233333333333332</c:v>
                </c:pt>
                <c:pt idx="29">
                  <c:v>0.17066666666666666</c:v>
                </c:pt>
                <c:pt idx="30">
                  <c:v>0.17400000000000002</c:v>
                </c:pt>
                <c:pt idx="31">
                  <c:v>0.18400000000000002</c:v>
                </c:pt>
                <c:pt idx="32">
                  <c:v>0.21066666666666667</c:v>
                </c:pt>
                <c:pt idx="33">
                  <c:v>0.20566666666666666</c:v>
                </c:pt>
                <c:pt idx="34">
                  <c:v>0.224</c:v>
                </c:pt>
                <c:pt idx="35">
                  <c:v>0.22900000000000001</c:v>
                </c:pt>
                <c:pt idx="36">
                  <c:v>0.22399999999999998</c:v>
                </c:pt>
                <c:pt idx="37">
                  <c:v>0.23899999999999999</c:v>
                </c:pt>
                <c:pt idx="38">
                  <c:v>0.24233333333333332</c:v>
                </c:pt>
                <c:pt idx="39">
                  <c:v>0.26733333333333337</c:v>
                </c:pt>
                <c:pt idx="40">
                  <c:v>0.26400000000000001</c:v>
                </c:pt>
                <c:pt idx="41">
                  <c:v>0.26900000000000002</c:v>
                </c:pt>
                <c:pt idx="42">
                  <c:v>0.28233333333333333</c:v>
                </c:pt>
                <c:pt idx="43">
                  <c:v>0.30033333333333334</c:v>
                </c:pt>
                <c:pt idx="44">
                  <c:v>0.313</c:v>
                </c:pt>
                <c:pt idx="45">
                  <c:v>0.313</c:v>
                </c:pt>
                <c:pt idx="46">
                  <c:v>0.31633333333333336</c:v>
                </c:pt>
                <c:pt idx="47">
                  <c:v>0.34633333333333338</c:v>
                </c:pt>
                <c:pt idx="48">
                  <c:v>0.34966666666666663</c:v>
                </c:pt>
                <c:pt idx="49">
                  <c:v>0.39799999999999996</c:v>
                </c:pt>
                <c:pt idx="50">
                  <c:v>0.34966666666666663</c:v>
                </c:pt>
                <c:pt idx="51">
                  <c:v>0.40300000000000002</c:v>
                </c:pt>
                <c:pt idx="52">
                  <c:v>0.39966666666666661</c:v>
                </c:pt>
                <c:pt idx="53">
                  <c:v>0.41633333333333328</c:v>
                </c:pt>
                <c:pt idx="54">
                  <c:v>0.438</c:v>
                </c:pt>
                <c:pt idx="55">
                  <c:v>0.46466666666666673</c:v>
                </c:pt>
                <c:pt idx="56">
                  <c:v>0.48299999999999993</c:v>
                </c:pt>
                <c:pt idx="57">
                  <c:v>0.48299999999999993</c:v>
                </c:pt>
                <c:pt idx="58">
                  <c:v>0.504</c:v>
                </c:pt>
                <c:pt idx="59">
                  <c:v>0.52866666666666673</c:v>
                </c:pt>
                <c:pt idx="60">
                  <c:v>0.50700000000000001</c:v>
                </c:pt>
                <c:pt idx="61">
                  <c:v>0.53033333333333332</c:v>
                </c:pt>
                <c:pt idx="62">
                  <c:v>0.53533333333333333</c:v>
                </c:pt>
                <c:pt idx="63">
                  <c:v>0.53533333333333333</c:v>
                </c:pt>
                <c:pt idx="64">
                  <c:v>0.57033333333333336</c:v>
                </c:pt>
                <c:pt idx="65">
                  <c:v>0.57366666666666666</c:v>
                </c:pt>
                <c:pt idx="66">
                  <c:v>0.57533333333333336</c:v>
                </c:pt>
                <c:pt idx="67">
                  <c:v>0.58533333333333326</c:v>
                </c:pt>
                <c:pt idx="68">
                  <c:v>0.59866666666666668</c:v>
                </c:pt>
                <c:pt idx="69">
                  <c:v>0.62699999999999989</c:v>
                </c:pt>
                <c:pt idx="70">
                  <c:v>0.6253333333333333</c:v>
                </c:pt>
                <c:pt idx="71">
                  <c:v>0.64033333333333331</c:v>
                </c:pt>
                <c:pt idx="72">
                  <c:v>0.64200000000000002</c:v>
                </c:pt>
                <c:pt idx="73">
                  <c:v>0.65700000000000003</c:v>
                </c:pt>
                <c:pt idx="74">
                  <c:v>0.65700000000000003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6-4AF0-9E14-A359B85FD528}"/>
            </c:ext>
          </c:extLst>
        </c:ser>
        <c:ser>
          <c:idx val="1"/>
          <c:order val="1"/>
          <c:tx>
            <c:strRef>
              <c:f>CP!$F$322</c:f>
              <c:strCache>
                <c:ptCount val="1"/>
                <c:pt idx="0">
                  <c:v>AE n=1000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CP!$F$323:$F$397</c:f>
              <c:numCache>
                <c:formatCode>General</c:formatCode>
                <c:ptCount val="75"/>
                <c:pt idx="0">
                  <c:v>0.13349917081260301</c:v>
                </c:pt>
                <c:pt idx="1">
                  <c:v>0.16860143725815332</c:v>
                </c:pt>
                <c:pt idx="2">
                  <c:v>0.23493642896627934</c:v>
                </c:pt>
                <c:pt idx="3">
                  <c:v>0.29850746268656669</c:v>
                </c:pt>
                <c:pt idx="4">
                  <c:v>0.29270315091210564</c:v>
                </c:pt>
                <c:pt idx="5">
                  <c:v>0.24018794914317232</c:v>
                </c:pt>
                <c:pt idx="6">
                  <c:v>0.278330569375345</c:v>
                </c:pt>
                <c:pt idx="7">
                  <c:v>0.22415699281370868</c:v>
                </c:pt>
                <c:pt idx="8">
                  <c:v>0.20923161967938067</c:v>
                </c:pt>
                <c:pt idx="9">
                  <c:v>0.15948037589828568</c:v>
                </c:pt>
                <c:pt idx="10">
                  <c:v>0.22802653399668268</c:v>
                </c:pt>
                <c:pt idx="11">
                  <c:v>0.22636815920397935</c:v>
                </c:pt>
                <c:pt idx="12">
                  <c:v>0.19928137092316167</c:v>
                </c:pt>
                <c:pt idx="13">
                  <c:v>0.18325041459369731</c:v>
                </c:pt>
                <c:pt idx="14">
                  <c:v>0.19264787175234899</c:v>
                </c:pt>
                <c:pt idx="15">
                  <c:v>0.16832504145936933</c:v>
                </c:pt>
                <c:pt idx="16">
                  <c:v>0.19375345494748433</c:v>
                </c:pt>
                <c:pt idx="17">
                  <c:v>0.20425649530127066</c:v>
                </c:pt>
                <c:pt idx="18">
                  <c:v>0.18656716417910402</c:v>
                </c:pt>
                <c:pt idx="19">
                  <c:v>0.20011055831951333</c:v>
                </c:pt>
                <c:pt idx="20">
                  <c:v>0.20646766169154165</c:v>
                </c:pt>
                <c:pt idx="21">
                  <c:v>0.20812603648424499</c:v>
                </c:pt>
                <c:pt idx="22">
                  <c:v>0.18794914317302336</c:v>
                </c:pt>
                <c:pt idx="23">
                  <c:v>0.19375345494748433</c:v>
                </c:pt>
                <c:pt idx="24">
                  <c:v>0.22498618021006034</c:v>
                </c:pt>
                <c:pt idx="25">
                  <c:v>0.21171918186843533</c:v>
                </c:pt>
                <c:pt idx="26">
                  <c:v>0.22498618021006001</c:v>
                </c:pt>
                <c:pt idx="27">
                  <c:v>0.22470978441127634</c:v>
                </c:pt>
                <c:pt idx="28">
                  <c:v>0.21890547263681534</c:v>
                </c:pt>
                <c:pt idx="29">
                  <c:v>0.25870646766169098</c:v>
                </c:pt>
                <c:pt idx="30">
                  <c:v>0.23383084577114369</c:v>
                </c:pt>
                <c:pt idx="31">
                  <c:v>0.257048092868988</c:v>
                </c:pt>
                <c:pt idx="32">
                  <c:v>0.2808181315644</c:v>
                </c:pt>
                <c:pt idx="33">
                  <c:v>0.25317855168601366</c:v>
                </c:pt>
                <c:pt idx="34">
                  <c:v>0.28192371475953498</c:v>
                </c:pt>
                <c:pt idx="35">
                  <c:v>0.29187396351575434</c:v>
                </c:pt>
                <c:pt idx="36">
                  <c:v>0.26423438363736801</c:v>
                </c:pt>
                <c:pt idx="37">
                  <c:v>0.27611940298507398</c:v>
                </c:pt>
                <c:pt idx="38">
                  <c:v>0.3043117744610277</c:v>
                </c:pt>
                <c:pt idx="39">
                  <c:v>0.32863460475400735</c:v>
                </c:pt>
                <c:pt idx="40">
                  <c:v>0.30762852404643432</c:v>
                </c:pt>
                <c:pt idx="41">
                  <c:v>0.32587064676616867</c:v>
                </c:pt>
                <c:pt idx="42">
                  <c:v>0.32808181315643964</c:v>
                </c:pt>
                <c:pt idx="43">
                  <c:v>0.36954118297401833</c:v>
                </c:pt>
                <c:pt idx="44">
                  <c:v>0.36318407960198967</c:v>
                </c:pt>
                <c:pt idx="45">
                  <c:v>0.36981757877280236</c:v>
                </c:pt>
                <c:pt idx="46">
                  <c:v>0.34881149806522904</c:v>
                </c:pt>
                <c:pt idx="47">
                  <c:v>0.38557213930348205</c:v>
                </c:pt>
                <c:pt idx="48">
                  <c:v>0.39773355444997199</c:v>
                </c:pt>
                <c:pt idx="49">
                  <c:v>0.43421779988944137</c:v>
                </c:pt>
                <c:pt idx="50">
                  <c:v>0.39994472084024296</c:v>
                </c:pt>
                <c:pt idx="51">
                  <c:v>0.44195688225538898</c:v>
                </c:pt>
                <c:pt idx="52">
                  <c:v>0.45384190160309529</c:v>
                </c:pt>
                <c:pt idx="53">
                  <c:v>0.45052515201768867</c:v>
                </c:pt>
                <c:pt idx="54">
                  <c:v>0.46710889994472032</c:v>
                </c:pt>
                <c:pt idx="55">
                  <c:v>0.47816473189607467</c:v>
                </c:pt>
                <c:pt idx="56">
                  <c:v>0.48756218905472598</c:v>
                </c:pt>
                <c:pt idx="57">
                  <c:v>0.51077943615257004</c:v>
                </c:pt>
                <c:pt idx="58">
                  <c:v>0.52183526810392433</c:v>
                </c:pt>
                <c:pt idx="59">
                  <c:v>0.53344389165284634</c:v>
                </c:pt>
                <c:pt idx="60">
                  <c:v>0.53123272526257559</c:v>
                </c:pt>
                <c:pt idx="61">
                  <c:v>0.54228855721392966</c:v>
                </c:pt>
                <c:pt idx="62">
                  <c:v>0.54947484798231006</c:v>
                </c:pt>
                <c:pt idx="63">
                  <c:v>0.55389718076285177</c:v>
                </c:pt>
                <c:pt idx="64">
                  <c:v>0.57186290768380266</c:v>
                </c:pt>
                <c:pt idx="65">
                  <c:v>0.58043117744610229</c:v>
                </c:pt>
                <c:pt idx="66">
                  <c:v>0.59093421779988864</c:v>
                </c:pt>
                <c:pt idx="67">
                  <c:v>0.60475400773908172</c:v>
                </c:pt>
                <c:pt idx="68">
                  <c:v>0.60972913211719149</c:v>
                </c:pt>
                <c:pt idx="69">
                  <c:v>0.62410171365395195</c:v>
                </c:pt>
                <c:pt idx="70">
                  <c:v>0.62603648424543901</c:v>
                </c:pt>
                <c:pt idx="71">
                  <c:v>0.63902708678828024</c:v>
                </c:pt>
                <c:pt idx="72">
                  <c:v>0.64455500276395739</c:v>
                </c:pt>
                <c:pt idx="73">
                  <c:v>0.64234383637368675</c:v>
                </c:pt>
                <c:pt idx="74">
                  <c:v>0.65920398009950232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36-4AF0-9E14-A359B85FD528}"/>
            </c:ext>
          </c:extLst>
        </c:ser>
        <c:ser>
          <c:idx val="2"/>
          <c:order val="2"/>
          <c:tx>
            <c:strRef>
              <c:f>CP!$G$322</c:f>
              <c:strCache>
                <c:ptCount val="1"/>
                <c:pt idx="0">
                  <c:v>IF n=1000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CP!$G$323:$G$397</c:f>
              <c:numCache>
                <c:formatCode>General</c:formatCode>
                <c:ptCount val="75"/>
                <c:pt idx="0">
                  <c:v>4.0655333333333328E-2</c:v>
                </c:pt>
                <c:pt idx="1">
                  <c:v>3.2086999999999997E-2</c:v>
                </c:pt>
                <c:pt idx="2">
                  <c:v>4.7849666666666672E-2</c:v>
                </c:pt>
                <c:pt idx="3">
                  <c:v>4.3695333333333336E-2</c:v>
                </c:pt>
                <c:pt idx="4">
                  <c:v>4.9499999999999995E-2</c:v>
                </c:pt>
                <c:pt idx="5">
                  <c:v>5.1434333333333332E-2</c:v>
                </c:pt>
                <c:pt idx="6">
                  <c:v>5.9173666666666659E-2</c:v>
                </c:pt>
                <c:pt idx="7">
                  <c:v>5.5303999999999999E-2</c:v>
                </c:pt>
                <c:pt idx="8">
                  <c:v>4.2866333333333333E-2</c:v>
                </c:pt>
                <c:pt idx="9">
                  <c:v>4.618266666666667E-2</c:v>
                </c:pt>
                <c:pt idx="10">
                  <c:v>4.6735666666666655E-2</c:v>
                </c:pt>
                <c:pt idx="11">
                  <c:v>4.0931666666666665E-2</c:v>
                </c:pt>
                <c:pt idx="12">
                  <c:v>4.9223333333333341E-2</c:v>
                </c:pt>
                <c:pt idx="13">
                  <c:v>5.6685999999999993E-2</c:v>
                </c:pt>
                <c:pt idx="14">
                  <c:v>5.5027333333333324E-2</c:v>
                </c:pt>
                <c:pt idx="15">
                  <c:v>6.3043000000000002E-2</c:v>
                </c:pt>
                <c:pt idx="16">
                  <c:v>5.6685999999999993E-2</c:v>
                </c:pt>
                <c:pt idx="17">
                  <c:v>5.9450000000000003E-2</c:v>
                </c:pt>
                <c:pt idx="18">
                  <c:v>6.1661000000000001E-2</c:v>
                </c:pt>
                <c:pt idx="19">
                  <c:v>6.3872333333333337E-2</c:v>
                </c:pt>
                <c:pt idx="20">
                  <c:v>6.8570999999999993E-2</c:v>
                </c:pt>
                <c:pt idx="21">
                  <c:v>6.1108666666666665E-2</c:v>
                </c:pt>
                <c:pt idx="22">
                  <c:v>7.3554333333333333E-2</c:v>
                </c:pt>
                <c:pt idx="23">
                  <c:v>6.2498666666666668E-2</c:v>
                </c:pt>
                <c:pt idx="24">
                  <c:v>6.8571000000000007E-2</c:v>
                </c:pt>
                <c:pt idx="25">
                  <c:v>7.2440666666666667E-2</c:v>
                </c:pt>
                <c:pt idx="26">
                  <c:v>8.295166666666666E-2</c:v>
                </c:pt>
                <c:pt idx="27">
                  <c:v>7.9903333333333326E-2</c:v>
                </c:pt>
                <c:pt idx="28">
                  <c:v>8.1285666666666659E-2</c:v>
                </c:pt>
                <c:pt idx="29">
                  <c:v>8.9577333333333342E-2</c:v>
                </c:pt>
                <c:pt idx="30">
                  <c:v>8.2943666666666679E-2</c:v>
                </c:pt>
                <c:pt idx="31">
                  <c:v>0.10146233333333332</c:v>
                </c:pt>
                <c:pt idx="32">
                  <c:v>0.10643733333333334</c:v>
                </c:pt>
                <c:pt idx="33">
                  <c:v>0.10560833333333335</c:v>
                </c:pt>
                <c:pt idx="34">
                  <c:v>0.11472933333333334</c:v>
                </c:pt>
                <c:pt idx="35">
                  <c:v>0.10809566666666666</c:v>
                </c:pt>
                <c:pt idx="36">
                  <c:v>0.13158899999999998</c:v>
                </c:pt>
                <c:pt idx="37">
                  <c:v>0.11859866666666667</c:v>
                </c:pt>
                <c:pt idx="38">
                  <c:v>0.10367333333333333</c:v>
                </c:pt>
                <c:pt idx="39">
                  <c:v>0.12108633333333334</c:v>
                </c:pt>
                <c:pt idx="40">
                  <c:v>0.16448066666666666</c:v>
                </c:pt>
                <c:pt idx="41">
                  <c:v>0.14292133333333332</c:v>
                </c:pt>
                <c:pt idx="42">
                  <c:v>0.15784666666666666</c:v>
                </c:pt>
                <c:pt idx="43">
                  <c:v>0.13849933333333334</c:v>
                </c:pt>
                <c:pt idx="44">
                  <c:v>0.124403</c:v>
                </c:pt>
                <c:pt idx="45">
                  <c:v>0.16503333333333334</c:v>
                </c:pt>
                <c:pt idx="46">
                  <c:v>0.16669166666666668</c:v>
                </c:pt>
                <c:pt idx="47">
                  <c:v>0.17636533333333335</c:v>
                </c:pt>
                <c:pt idx="48">
                  <c:v>0.19073799999999999</c:v>
                </c:pt>
                <c:pt idx="49">
                  <c:v>0.19681866666666667</c:v>
                </c:pt>
                <c:pt idx="50">
                  <c:v>0.20428100000000002</c:v>
                </c:pt>
                <c:pt idx="51">
                  <c:v>0.20676866666666668</c:v>
                </c:pt>
                <c:pt idx="52">
                  <c:v>0.22528733333333331</c:v>
                </c:pt>
                <c:pt idx="53">
                  <c:v>0.18907966666666667</c:v>
                </c:pt>
                <c:pt idx="54">
                  <c:v>0.23385566666666668</c:v>
                </c:pt>
                <c:pt idx="55">
                  <c:v>0.24159466666666671</c:v>
                </c:pt>
                <c:pt idx="56">
                  <c:v>0.25099199999999999</c:v>
                </c:pt>
                <c:pt idx="57">
                  <c:v>0.26453566666666667</c:v>
                </c:pt>
                <c:pt idx="58">
                  <c:v>0.27448566666666663</c:v>
                </c:pt>
                <c:pt idx="59">
                  <c:v>0.255691</c:v>
                </c:pt>
                <c:pt idx="60">
                  <c:v>0.2742093333333333</c:v>
                </c:pt>
                <c:pt idx="61">
                  <c:v>0.31594533333333336</c:v>
                </c:pt>
                <c:pt idx="62">
                  <c:v>0.30101966666666669</c:v>
                </c:pt>
                <c:pt idx="63">
                  <c:v>0.31401033333333334</c:v>
                </c:pt>
                <c:pt idx="64">
                  <c:v>0.39637633333333328</c:v>
                </c:pt>
                <c:pt idx="65">
                  <c:v>0.34911300000000001</c:v>
                </c:pt>
                <c:pt idx="66">
                  <c:v>0.4298203333333333</c:v>
                </c:pt>
                <c:pt idx="67">
                  <c:v>0.36984233333333333</c:v>
                </c:pt>
                <c:pt idx="68">
                  <c:v>0.36652600000000007</c:v>
                </c:pt>
                <c:pt idx="69">
                  <c:v>0.42318699999999998</c:v>
                </c:pt>
                <c:pt idx="70">
                  <c:v>0.37260633333333332</c:v>
                </c:pt>
                <c:pt idx="71">
                  <c:v>0.43424266666666661</c:v>
                </c:pt>
                <c:pt idx="72">
                  <c:v>0.41019600000000001</c:v>
                </c:pt>
                <c:pt idx="73">
                  <c:v>0.40273366666666671</c:v>
                </c:pt>
                <c:pt idx="74">
                  <c:v>0.43147866666666673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36-4AF0-9E14-A359B85FD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3568240"/>
        <c:axId val="793564880"/>
      </c:lineChart>
      <c:catAx>
        <c:axId val="79356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564880"/>
        <c:crosses val="autoZero"/>
        <c:auto val="1"/>
        <c:lblAlgn val="ctr"/>
        <c:lblOffset val="100"/>
        <c:noMultiLvlLbl val="0"/>
      </c:catAx>
      <c:valAx>
        <c:axId val="79356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56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CP!$H$322</c:f>
              <c:strCache>
                <c:ptCount val="1"/>
                <c:pt idx="0">
                  <c:v>OCSVM n=1500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CP!$H$323:$H$397</c:f>
              <c:numCache>
                <c:formatCode>General</c:formatCode>
                <c:ptCount val="75"/>
                <c:pt idx="0">
                  <c:v>1.5666666666666666E-2</c:v>
                </c:pt>
                <c:pt idx="1">
                  <c:v>2.5666666666666667E-2</c:v>
                </c:pt>
                <c:pt idx="2">
                  <c:v>0.04</c:v>
                </c:pt>
                <c:pt idx="3">
                  <c:v>3.3666666666666671E-2</c:v>
                </c:pt>
                <c:pt idx="4">
                  <c:v>3.9E-2</c:v>
                </c:pt>
                <c:pt idx="5">
                  <c:v>5.6333333333333339E-2</c:v>
                </c:pt>
                <c:pt idx="6">
                  <c:v>6.533333333333334E-2</c:v>
                </c:pt>
                <c:pt idx="7">
                  <c:v>3.6333333333333336E-2</c:v>
                </c:pt>
                <c:pt idx="8">
                  <c:v>3.5333333333333335E-2</c:v>
                </c:pt>
                <c:pt idx="9">
                  <c:v>3.7666666666666661E-2</c:v>
                </c:pt>
                <c:pt idx="10">
                  <c:v>3.3333333333333333E-2</c:v>
                </c:pt>
                <c:pt idx="11">
                  <c:v>3.1E-2</c:v>
                </c:pt>
                <c:pt idx="12">
                  <c:v>0.03</c:v>
                </c:pt>
                <c:pt idx="13">
                  <c:v>2.7666666666666669E-2</c:v>
                </c:pt>
                <c:pt idx="14">
                  <c:v>2.7999999999999997E-2</c:v>
                </c:pt>
                <c:pt idx="15">
                  <c:v>2.7999999999999997E-2</c:v>
                </c:pt>
                <c:pt idx="16">
                  <c:v>2.6666666666666668E-2</c:v>
                </c:pt>
                <c:pt idx="17">
                  <c:v>3.3333333333333333E-2</c:v>
                </c:pt>
                <c:pt idx="18">
                  <c:v>3.1E-2</c:v>
                </c:pt>
                <c:pt idx="19">
                  <c:v>3.4333333333333334E-2</c:v>
                </c:pt>
                <c:pt idx="20">
                  <c:v>2.4666666666666667E-2</c:v>
                </c:pt>
                <c:pt idx="21">
                  <c:v>2.866666666666667E-2</c:v>
                </c:pt>
                <c:pt idx="22">
                  <c:v>3.2333333333333332E-2</c:v>
                </c:pt>
                <c:pt idx="23">
                  <c:v>0.03</c:v>
                </c:pt>
                <c:pt idx="24">
                  <c:v>3.1333333333333331E-2</c:v>
                </c:pt>
                <c:pt idx="25">
                  <c:v>3.4333333333333334E-2</c:v>
                </c:pt>
                <c:pt idx="26">
                  <c:v>4.2333333333333334E-2</c:v>
                </c:pt>
                <c:pt idx="27">
                  <c:v>4.6666666666666669E-2</c:v>
                </c:pt>
                <c:pt idx="28">
                  <c:v>4.9666666666666665E-2</c:v>
                </c:pt>
                <c:pt idx="29">
                  <c:v>5.4333333333333324E-2</c:v>
                </c:pt>
                <c:pt idx="30">
                  <c:v>4.6666666666666669E-2</c:v>
                </c:pt>
                <c:pt idx="31">
                  <c:v>5.4333333333333338E-2</c:v>
                </c:pt>
                <c:pt idx="32">
                  <c:v>5.2999999999999999E-2</c:v>
                </c:pt>
                <c:pt idx="33">
                  <c:v>5.7666666666666665E-2</c:v>
                </c:pt>
                <c:pt idx="34">
                  <c:v>6.0666666666666667E-2</c:v>
                </c:pt>
                <c:pt idx="35">
                  <c:v>5.7666666666666665E-2</c:v>
                </c:pt>
                <c:pt idx="36">
                  <c:v>5.0666666666666665E-2</c:v>
                </c:pt>
                <c:pt idx="37">
                  <c:v>6.2E-2</c:v>
                </c:pt>
                <c:pt idx="38">
                  <c:v>6.433333333333334E-2</c:v>
                </c:pt>
                <c:pt idx="39">
                  <c:v>7.400000000000001E-2</c:v>
                </c:pt>
                <c:pt idx="40">
                  <c:v>6.7666666666666667E-2</c:v>
                </c:pt>
                <c:pt idx="41">
                  <c:v>6.9666666666666668E-2</c:v>
                </c:pt>
                <c:pt idx="42">
                  <c:v>6.6333333333333341E-2</c:v>
                </c:pt>
                <c:pt idx="43">
                  <c:v>7.6666666666666675E-2</c:v>
                </c:pt>
                <c:pt idx="44">
                  <c:v>7.0666666666666669E-2</c:v>
                </c:pt>
                <c:pt idx="45">
                  <c:v>7.3000000000000009E-2</c:v>
                </c:pt>
                <c:pt idx="46">
                  <c:v>8.1666666666666665E-2</c:v>
                </c:pt>
                <c:pt idx="47">
                  <c:v>7.9666666666666663E-2</c:v>
                </c:pt>
                <c:pt idx="48">
                  <c:v>7.8666666666666676E-2</c:v>
                </c:pt>
                <c:pt idx="49">
                  <c:v>7.8666666666666676E-2</c:v>
                </c:pt>
                <c:pt idx="50">
                  <c:v>8.666666666666667E-2</c:v>
                </c:pt>
                <c:pt idx="51">
                  <c:v>8.1666666666666665E-2</c:v>
                </c:pt>
                <c:pt idx="52">
                  <c:v>8.7666666666666671E-2</c:v>
                </c:pt>
                <c:pt idx="53">
                  <c:v>8.4000000000000005E-2</c:v>
                </c:pt>
                <c:pt idx="54">
                  <c:v>8.533333333333333E-2</c:v>
                </c:pt>
                <c:pt idx="55">
                  <c:v>8.533333333333333E-2</c:v>
                </c:pt>
                <c:pt idx="56">
                  <c:v>8.8666666666666671E-2</c:v>
                </c:pt>
                <c:pt idx="57">
                  <c:v>8.8666666666666671E-2</c:v>
                </c:pt>
                <c:pt idx="58">
                  <c:v>9.0666666666666673E-2</c:v>
                </c:pt>
                <c:pt idx="59">
                  <c:v>9.3000000000000013E-2</c:v>
                </c:pt>
                <c:pt idx="60">
                  <c:v>8.9666666666666672E-2</c:v>
                </c:pt>
                <c:pt idx="61">
                  <c:v>9.3000000000000013E-2</c:v>
                </c:pt>
                <c:pt idx="62">
                  <c:v>8.8666666666666671E-2</c:v>
                </c:pt>
                <c:pt idx="63">
                  <c:v>9.5333333333333339E-2</c:v>
                </c:pt>
                <c:pt idx="64">
                  <c:v>9.7333333333333341E-2</c:v>
                </c:pt>
                <c:pt idx="65">
                  <c:v>9.2000000000000012E-2</c:v>
                </c:pt>
                <c:pt idx="66">
                  <c:v>9.9666666666666681E-2</c:v>
                </c:pt>
                <c:pt idx="67">
                  <c:v>9.9666666666666681E-2</c:v>
                </c:pt>
                <c:pt idx="68">
                  <c:v>0.10200000000000002</c:v>
                </c:pt>
                <c:pt idx="69">
                  <c:v>0.10533333333333333</c:v>
                </c:pt>
                <c:pt idx="70">
                  <c:v>0.10433333333333333</c:v>
                </c:pt>
                <c:pt idx="71">
                  <c:v>0.10733333333333334</c:v>
                </c:pt>
                <c:pt idx="72">
                  <c:v>0.10966666666666668</c:v>
                </c:pt>
                <c:pt idx="73">
                  <c:v>0.12533333333333332</c:v>
                </c:pt>
                <c:pt idx="74">
                  <c:v>0.12533333333333332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5-479E-B929-C96D1F065361}"/>
            </c:ext>
          </c:extLst>
        </c:ser>
        <c:ser>
          <c:idx val="1"/>
          <c:order val="1"/>
          <c:tx>
            <c:strRef>
              <c:f>CP!$I$322</c:f>
              <c:strCache>
                <c:ptCount val="1"/>
                <c:pt idx="0">
                  <c:v>AE n=1500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CP!$I$323:$I$397</c:f>
              <c:numCache>
                <c:formatCode>General</c:formatCode>
                <c:ptCount val="75"/>
                <c:pt idx="0">
                  <c:v>9.7452934662236645E-2</c:v>
                </c:pt>
                <c:pt idx="1">
                  <c:v>0.1133259505352525</c:v>
                </c:pt>
                <c:pt idx="2">
                  <c:v>0.14931709117755568</c:v>
                </c:pt>
                <c:pt idx="3">
                  <c:v>0.16629752676264264</c:v>
                </c:pt>
                <c:pt idx="4">
                  <c:v>0.19915097822074534</c:v>
                </c:pt>
                <c:pt idx="5">
                  <c:v>0.17681801402731601</c:v>
                </c:pt>
                <c:pt idx="6">
                  <c:v>0.18235511258767001</c:v>
                </c:pt>
                <c:pt idx="7">
                  <c:v>0.19102990033222533</c:v>
                </c:pt>
                <c:pt idx="8">
                  <c:v>0.17607973421926867</c:v>
                </c:pt>
                <c:pt idx="9">
                  <c:v>0.19102990033222533</c:v>
                </c:pt>
                <c:pt idx="10">
                  <c:v>0.18973791066814302</c:v>
                </c:pt>
                <c:pt idx="11">
                  <c:v>0.19269102990033202</c:v>
                </c:pt>
                <c:pt idx="12">
                  <c:v>0.20358065706902864</c:v>
                </c:pt>
                <c:pt idx="13">
                  <c:v>0.20394979697305235</c:v>
                </c:pt>
                <c:pt idx="14">
                  <c:v>0.19915097822074534</c:v>
                </c:pt>
                <c:pt idx="15">
                  <c:v>0.174787744555186</c:v>
                </c:pt>
                <c:pt idx="16">
                  <c:v>0.18327796234772933</c:v>
                </c:pt>
                <c:pt idx="17">
                  <c:v>0.19619785898855632</c:v>
                </c:pt>
                <c:pt idx="18">
                  <c:v>0.18807678110003634</c:v>
                </c:pt>
                <c:pt idx="19">
                  <c:v>0.19232188999630798</c:v>
                </c:pt>
                <c:pt idx="20">
                  <c:v>0.18863049095607201</c:v>
                </c:pt>
                <c:pt idx="21">
                  <c:v>0.20136581764488667</c:v>
                </c:pt>
                <c:pt idx="22">
                  <c:v>0.19859726836470967</c:v>
                </c:pt>
                <c:pt idx="23">
                  <c:v>0.18438538205979996</c:v>
                </c:pt>
                <c:pt idx="24">
                  <c:v>0.18881506090808364</c:v>
                </c:pt>
                <c:pt idx="25">
                  <c:v>0.19232188999630798</c:v>
                </c:pt>
                <c:pt idx="26">
                  <c:v>0.18512366186784734</c:v>
                </c:pt>
                <c:pt idx="27">
                  <c:v>0.19638242894056801</c:v>
                </c:pt>
                <c:pt idx="28">
                  <c:v>0.18383167220376465</c:v>
                </c:pt>
                <c:pt idx="29">
                  <c:v>0.18863049095607201</c:v>
                </c:pt>
                <c:pt idx="30">
                  <c:v>0.18992248062015468</c:v>
                </c:pt>
                <c:pt idx="31">
                  <c:v>0.19195275009228432</c:v>
                </c:pt>
                <c:pt idx="32">
                  <c:v>0.17552602436323336</c:v>
                </c:pt>
                <c:pt idx="33">
                  <c:v>0.193244739756367</c:v>
                </c:pt>
                <c:pt idx="34">
                  <c:v>0.19139904023624901</c:v>
                </c:pt>
                <c:pt idx="35">
                  <c:v>0.18014027316352865</c:v>
                </c:pt>
                <c:pt idx="36">
                  <c:v>0.177740863787375</c:v>
                </c:pt>
                <c:pt idx="37">
                  <c:v>0.18586194167589468</c:v>
                </c:pt>
                <c:pt idx="38">
                  <c:v>0.203026947212993</c:v>
                </c:pt>
                <c:pt idx="39">
                  <c:v>0.17847914359542202</c:v>
                </c:pt>
                <c:pt idx="40">
                  <c:v>0.18641565153192999</c:v>
                </c:pt>
                <c:pt idx="41">
                  <c:v>0.17091177556293799</c:v>
                </c:pt>
                <c:pt idx="42">
                  <c:v>0.18936877076411898</c:v>
                </c:pt>
                <c:pt idx="43">
                  <c:v>0.20247323735695769</c:v>
                </c:pt>
                <c:pt idx="44">
                  <c:v>0.19712070874861501</c:v>
                </c:pt>
                <c:pt idx="45">
                  <c:v>0.18272425249169366</c:v>
                </c:pt>
                <c:pt idx="46">
                  <c:v>0.18032484311554034</c:v>
                </c:pt>
                <c:pt idx="47">
                  <c:v>0.19545957918050863</c:v>
                </c:pt>
                <c:pt idx="48">
                  <c:v>0.19453672942045</c:v>
                </c:pt>
                <c:pt idx="49">
                  <c:v>0.19453672942045</c:v>
                </c:pt>
                <c:pt idx="50">
                  <c:v>0.19896640826873369</c:v>
                </c:pt>
                <c:pt idx="51">
                  <c:v>0.20874861572535933</c:v>
                </c:pt>
                <c:pt idx="52">
                  <c:v>0.20764119601328868</c:v>
                </c:pt>
                <c:pt idx="53">
                  <c:v>0.20081210778885164</c:v>
                </c:pt>
                <c:pt idx="54">
                  <c:v>0.19767441860465065</c:v>
                </c:pt>
                <c:pt idx="55">
                  <c:v>0.19158361018826101</c:v>
                </c:pt>
                <c:pt idx="56">
                  <c:v>0.19915097822074532</c:v>
                </c:pt>
                <c:pt idx="57">
                  <c:v>0.20634920634920598</c:v>
                </c:pt>
                <c:pt idx="58">
                  <c:v>0.21520856404577302</c:v>
                </c:pt>
                <c:pt idx="59">
                  <c:v>0.22056109265411564</c:v>
                </c:pt>
                <c:pt idx="60">
                  <c:v>0.21391657438169034</c:v>
                </c:pt>
                <c:pt idx="61">
                  <c:v>0.21613141380583198</c:v>
                </c:pt>
                <c:pt idx="62">
                  <c:v>0.21760797342192664</c:v>
                </c:pt>
                <c:pt idx="63">
                  <c:v>0.25046142488002898</c:v>
                </c:pt>
                <c:pt idx="64">
                  <c:v>0.22369878183831601</c:v>
                </c:pt>
                <c:pt idx="65">
                  <c:v>0.23237356958287134</c:v>
                </c:pt>
                <c:pt idx="66">
                  <c:v>0.22425249169435169</c:v>
                </c:pt>
                <c:pt idx="67">
                  <c:v>0.22259136212624533</c:v>
                </c:pt>
                <c:pt idx="68">
                  <c:v>0.236618678479143</c:v>
                </c:pt>
                <c:pt idx="69">
                  <c:v>0.24972314507198168</c:v>
                </c:pt>
                <c:pt idx="70">
                  <c:v>0.229605020302694</c:v>
                </c:pt>
                <c:pt idx="71">
                  <c:v>0.22978959025470602</c:v>
                </c:pt>
                <c:pt idx="72">
                  <c:v>0.24123292727943832</c:v>
                </c:pt>
                <c:pt idx="73">
                  <c:v>0.25692137320044267</c:v>
                </c:pt>
                <c:pt idx="74">
                  <c:v>0.24621631598375734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65-479E-B929-C96D1F065361}"/>
            </c:ext>
          </c:extLst>
        </c:ser>
        <c:ser>
          <c:idx val="2"/>
          <c:order val="2"/>
          <c:tx>
            <c:strRef>
              <c:f>CP!$J$322</c:f>
              <c:strCache>
                <c:ptCount val="1"/>
                <c:pt idx="0">
                  <c:v>IF n=1500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CP!$J$323:$J$397</c:f>
              <c:numCache>
                <c:formatCode>General</c:formatCode>
                <c:ptCount val="75"/>
                <c:pt idx="0">
                  <c:v>4.6897666666666671E-2</c:v>
                </c:pt>
                <c:pt idx="1">
                  <c:v>4.4682333333333331E-2</c:v>
                </c:pt>
                <c:pt idx="2">
                  <c:v>4.6712666666666659E-2</c:v>
                </c:pt>
                <c:pt idx="3">
                  <c:v>3.9883666666666664E-2</c:v>
                </c:pt>
                <c:pt idx="4">
                  <c:v>4.9112333333333334E-2</c:v>
                </c:pt>
                <c:pt idx="5">
                  <c:v>4.3021666666666659E-2</c:v>
                </c:pt>
                <c:pt idx="6">
                  <c:v>4.7635666666666666E-2</c:v>
                </c:pt>
                <c:pt idx="7">
                  <c:v>4.9296666666666662E-2</c:v>
                </c:pt>
                <c:pt idx="8">
                  <c:v>4.9481333333333329E-2</c:v>
                </c:pt>
                <c:pt idx="9">
                  <c:v>4.1175666666666666E-2</c:v>
                </c:pt>
                <c:pt idx="10">
                  <c:v>4.7266333333333334E-2</c:v>
                </c:pt>
                <c:pt idx="11">
                  <c:v>4.4498000000000003E-2</c:v>
                </c:pt>
                <c:pt idx="12">
                  <c:v>4.6343666666666672E-2</c:v>
                </c:pt>
                <c:pt idx="13">
                  <c:v>3.8591666666666663E-2</c:v>
                </c:pt>
                <c:pt idx="14">
                  <c:v>4.5235999999999998E-2</c:v>
                </c:pt>
                <c:pt idx="15">
                  <c:v>3.8037999999999995E-2</c:v>
                </c:pt>
                <c:pt idx="16">
                  <c:v>3.9145333333333331E-2</c:v>
                </c:pt>
                <c:pt idx="17">
                  <c:v>4.1545000000000006E-2</c:v>
                </c:pt>
                <c:pt idx="18">
                  <c:v>3.3977333333333332E-2</c:v>
                </c:pt>
                <c:pt idx="19">
                  <c:v>3.9330000000000004E-2</c:v>
                </c:pt>
                <c:pt idx="20">
                  <c:v>4.043766666666667E-2</c:v>
                </c:pt>
                <c:pt idx="21">
                  <c:v>3.2685666666666668E-2</c:v>
                </c:pt>
                <c:pt idx="22">
                  <c:v>3.526933333333334E-2</c:v>
                </c:pt>
                <c:pt idx="23">
                  <c:v>4.0068333333333338E-2</c:v>
                </c:pt>
                <c:pt idx="24">
                  <c:v>4.0068333333333338E-2</c:v>
                </c:pt>
                <c:pt idx="25">
                  <c:v>4.1728999999999995E-2</c:v>
                </c:pt>
                <c:pt idx="26">
                  <c:v>3.8223E-2</c:v>
                </c:pt>
                <c:pt idx="27">
                  <c:v>4.6159000000000006E-2</c:v>
                </c:pt>
                <c:pt idx="28">
                  <c:v>4.5420999999999996E-2</c:v>
                </c:pt>
                <c:pt idx="29">
                  <c:v>4.5420666666666665E-2</c:v>
                </c:pt>
                <c:pt idx="30">
                  <c:v>4.1360666666666664E-2</c:v>
                </c:pt>
                <c:pt idx="31">
                  <c:v>4.6533666666666668E-2</c:v>
                </c:pt>
                <c:pt idx="32">
                  <c:v>4.6712666666666659E-2</c:v>
                </c:pt>
                <c:pt idx="33">
                  <c:v>4.9481333333333329E-2</c:v>
                </c:pt>
                <c:pt idx="34">
                  <c:v>4.8558666666666667E-2</c:v>
                </c:pt>
                <c:pt idx="35">
                  <c:v>5.1142333333333338E-2</c:v>
                </c:pt>
                <c:pt idx="36">
                  <c:v>4.6713000000000005E-2</c:v>
                </c:pt>
                <c:pt idx="37">
                  <c:v>4.9111999999999996E-2</c:v>
                </c:pt>
                <c:pt idx="38">
                  <c:v>5.4464666666666668E-2</c:v>
                </c:pt>
                <c:pt idx="39">
                  <c:v>5.5572333333333335E-2</c:v>
                </c:pt>
                <c:pt idx="40">
                  <c:v>5.4095666666666674E-2</c:v>
                </c:pt>
                <c:pt idx="41">
                  <c:v>5.0035333333333341E-2</c:v>
                </c:pt>
                <c:pt idx="42">
                  <c:v>5.7233333333333331E-2</c:v>
                </c:pt>
                <c:pt idx="43">
                  <c:v>5.3172666666666667E-2</c:v>
                </c:pt>
                <c:pt idx="44">
                  <c:v>5.2434333333333333E-2</c:v>
                </c:pt>
                <c:pt idx="45">
                  <c:v>5.1327000000000005E-2</c:v>
                </c:pt>
                <c:pt idx="46">
                  <c:v>6.0555666666666667E-2</c:v>
                </c:pt>
                <c:pt idx="47">
                  <c:v>6.1109333333333328E-2</c:v>
                </c:pt>
                <c:pt idx="48">
                  <c:v>6.0371000000000001E-2</c:v>
                </c:pt>
                <c:pt idx="49">
                  <c:v>6.0371000000000001E-2</c:v>
                </c:pt>
                <c:pt idx="50">
                  <c:v>6.1108999999999997E-2</c:v>
                </c:pt>
                <c:pt idx="51">
                  <c:v>5.8156000000000006E-2</c:v>
                </c:pt>
                <c:pt idx="52">
                  <c:v>6.572366666666668E-2</c:v>
                </c:pt>
                <c:pt idx="53">
                  <c:v>6.1108999999999997E-2</c:v>
                </c:pt>
                <c:pt idx="54">
                  <c:v>5.7971333333333326E-2</c:v>
                </c:pt>
                <c:pt idx="55">
                  <c:v>6.1109333333333328E-2</c:v>
                </c:pt>
                <c:pt idx="56">
                  <c:v>6.6645999999999997E-2</c:v>
                </c:pt>
                <c:pt idx="57">
                  <c:v>7.4952000000000005E-2</c:v>
                </c:pt>
                <c:pt idx="58">
                  <c:v>6.221666666666667E-2</c:v>
                </c:pt>
                <c:pt idx="59">
                  <c:v>7.0152999999999993E-2</c:v>
                </c:pt>
                <c:pt idx="60">
                  <c:v>6.756899999999999E-2</c:v>
                </c:pt>
                <c:pt idx="61">
                  <c:v>7.0337666666666673E-2</c:v>
                </c:pt>
                <c:pt idx="62">
                  <c:v>7.7720666666666674E-2</c:v>
                </c:pt>
                <c:pt idx="63">
                  <c:v>7.772066666666666E-2</c:v>
                </c:pt>
                <c:pt idx="64">
                  <c:v>7.4952000000000005E-2</c:v>
                </c:pt>
                <c:pt idx="65">
                  <c:v>7.2552666666666668E-2</c:v>
                </c:pt>
                <c:pt idx="66">
                  <c:v>8.0673666666666657E-2</c:v>
                </c:pt>
                <c:pt idx="67">
                  <c:v>7.1814666666666666E-2</c:v>
                </c:pt>
                <c:pt idx="68">
                  <c:v>7.7720333333333336E-2</c:v>
                </c:pt>
                <c:pt idx="69">
                  <c:v>8.657999999999999E-2</c:v>
                </c:pt>
                <c:pt idx="70">
                  <c:v>7.8274333333333335E-2</c:v>
                </c:pt>
                <c:pt idx="71">
                  <c:v>8.602633333333333E-2</c:v>
                </c:pt>
                <c:pt idx="72">
                  <c:v>7.938166666666667E-2</c:v>
                </c:pt>
                <c:pt idx="73">
                  <c:v>9.1747666666666672E-2</c:v>
                </c:pt>
                <c:pt idx="74">
                  <c:v>8.5841666666666663E-2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65-479E-B929-C96D1F065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0517391"/>
        <c:axId val="1140514991"/>
      </c:lineChart>
      <c:catAx>
        <c:axId val="114051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14991"/>
        <c:crosses val="autoZero"/>
        <c:auto val="1"/>
        <c:lblAlgn val="ctr"/>
        <c:lblOffset val="100"/>
        <c:noMultiLvlLbl val="0"/>
      </c:catAx>
      <c:valAx>
        <c:axId val="114051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1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CP!$K$322</c:f>
              <c:strCache>
                <c:ptCount val="1"/>
                <c:pt idx="0">
                  <c:v>OCSVM n=3000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CP!$K$323:$K$397</c:f>
              <c:numCache>
                <c:formatCode>General</c:formatCode>
                <c:ptCount val="75"/>
                <c:pt idx="0">
                  <c:v>3.6999999999999998E-2</c:v>
                </c:pt>
                <c:pt idx="1">
                  <c:v>2.1000000000000001E-2</c:v>
                </c:pt>
                <c:pt idx="2">
                  <c:v>3.3000000000000002E-2</c:v>
                </c:pt>
                <c:pt idx="3">
                  <c:v>0.04</c:v>
                </c:pt>
                <c:pt idx="4">
                  <c:v>2.8000000000000001E-2</c:v>
                </c:pt>
                <c:pt idx="5">
                  <c:v>3.3000000000000002E-2</c:v>
                </c:pt>
                <c:pt idx="6">
                  <c:v>0.03</c:v>
                </c:pt>
                <c:pt idx="7">
                  <c:v>0.04</c:v>
                </c:pt>
                <c:pt idx="8">
                  <c:v>3.3000000000000002E-2</c:v>
                </c:pt>
                <c:pt idx="9">
                  <c:v>3.6999999999999998E-2</c:v>
                </c:pt>
                <c:pt idx="10">
                  <c:v>2.8000000000000001E-2</c:v>
                </c:pt>
                <c:pt idx="11">
                  <c:v>2.5999999999999999E-2</c:v>
                </c:pt>
                <c:pt idx="12">
                  <c:v>2.8000000000000001E-2</c:v>
                </c:pt>
                <c:pt idx="13">
                  <c:v>2.8000000000000001E-2</c:v>
                </c:pt>
                <c:pt idx="14">
                  <c:v>0.03</c:v>
                </c:pt>
                <c:pt idx="15">
                  <c:v>2.5999999999999999E-2</c:v>
                </c:pt>
                <c:pt idx="16">
                  <c:v>2.8000000000000001E-2</c:v>
                </c:pt>
                <c:pt idx="17">
                  <c:v>2.8000000000000001E-2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2.8000000000000001E-2</c:v>
                </c:pt>
                <c:pt idx="23">
                  <c:v>0.03</c:v>
                </c:pt>
                <c:pt idx="24">
                  <c:v>0.03</c:v>
                </c:pt>
                <c:pt idx="25">
                  <c:v>2.8000000000000001E-2</c:v>
                </c:pt>
                <c:pt idx="26">
                  <c:v>2.8000000000000001E-2</c:v>
                </c:pt>
                <c:pt idx="27">
                  <c:v>2.8000000000000001E-2</c:v>
                </c:pt>
                <c:pt idx="28">
                  <c:v>3.3000000000000002E-2</c:v>
                </c:pt>
                <c:pt idx="29">
                  <c:v>3.3000000000000002E-2</c:v>
                </c:pt>
                <c:pt idx="30">
                  <c:v>0.03</c:v>
                </c:pt>
                <c:pt idx="31">
                  <c:v>2.5999999999999999E-2</c:v>
                </c:pt>
                <c:pt idx="32">
                  <c:v>2.3000000000000003E-2</c:v>
                </c:pt>
                <c:pt idx="33">
                  <c:v>2.3000000000000003E-2</c:v>
                </c:pt>
                <c:pt idx="34">
                  <c:v>2.8000000000000001E-2</c:v>
                </c:pt>
                <c:pt idx="35">
                  <c:v>2.8000000000000001E-2</c:v>
                </c:pt>
                <c:pt idx="36">
                  <c:v>2.8000000000000001E-2</c:v>
                </c:pt>
                <c:pt idx="37">
                  <c:v>0.03</c:v>
                </c:pt>
                <c:pt idx="38">
                  <c:v>2.5999999999999999E-2</c:v>
                </c:pt>
                <c:pt idx="39">
                  <c:v>2.5999999999999999E-2</c:v>
                </c:pt>
                <c:pt idx="40">
                  <c:v>2.5999999999999999E-2</c:v>
                </c:pt>
                <c:pt idx="41">
                  <c:v>2.8000000000000001E-2</c:v>
                </c:pt>
                <c:pt idx="42">
                  <c:v>2.5999999999999999E-2</c:v>
                </c:pt>
                <c:pt idx="43">
                  <c:v>2.5999999999999999E-2</c:v>
                </c:pt>
                <c:pt idx="44">
                  <c:v>2.5999999999999999E-2</c:v>
                </c:pt>
                <c:pt idx="45">
                  <c:v>3.3000000000000002E-2</c:v>
                </c:pt>
                <c:pt idx="46">
                  <c:v>2.3000000000000003E-2</c:v>
                </c:pt>
                <c:pt idx="47">
                  <c:v>0.03</c:v>
                </c:pt>
                <c:pt idx="48">
                  <c:v>2.8000000000000001E-2</c:v>
                </c:pt>
                <c:pt idx="49">
                  <c:v>2.8000000000000001E-2</c:v>
                </c:pt>
                <c:pt idx="50">
                  <c:v>2.5999999999999999E-2</c:v>
                </c:pt>
                <c:pt idx="51">
                  <c:v>2.5999999999999999E-2</c:v>
                </c:pt>
                <c:pt idx="52">
                  <c:v>2.5999999999999999E-2</c:v>
                </c:pt>
                <c:pt idx="53">
                  <c:v>2.1000000000000001E-2</c:v>
                </c:pt>
                <c:pt idx="54">
                  <c:v>2.5999999999999999E-2</c:v>
                </c:pt>
                <c:pt idx="55">
                  <c:v>2.5999999999999999E-2</c:v>
                </c:pt>
                <c:pt idx="56">
                  <c:v>2.5999999999999999E-2</c:v>
                </c:pt>
                <c:pt idx="57">
                  <c:v>2.1000000000000001E-2</c:v>
                </c:pt>
                <c:pt idx="58">
                  <c:v>2.5999999999999999E-2</c:v>
                </c:pt>
                <c:pt idx="59">
                  <c:v>2.3000000000000003E-2</c:v>
                </c:pt>
                <c:pt idx="60">
                  <c:v>2.1000000000000001E-2</c:v>
                </c:pt>
                <c:pt idx="61">
                  <c:v>2.1000000000000001E-2</c:v>
                </c:pt>
                <c:pt idx="62">
                  <c:v>2.1000000000000001E-2</c:v>
                </c:pt>
                <c:pt idx="63">
                  <c:v>2.3000000000000003E-2</c:v>
                </c:pt>
                <c:pt idx="64">
                  <c:v>1.9E-2</c:v>
                </c:pt>
                <c:pt idx="65">
                  <c:v>2.5999999999999999E-2</c:v>
                </c:pt>
                <c:pt idx="66">
                  <c:v>2.3000000000000003E-2</c:v>
                </c:pt>
                <c:pt idx="67">
                  <c:v>1.9E-2</c:v>
                </c:pt>
                <c:pt idx="68">
                  <c:v>2.3000000000000003E-2</c:v>
                </c:pt>
                <c:pt idx="69">
                  <c:v>1.9E-2</c:v>
                </c:pt>
                <c:pt idx="70">
                  <c:v>2.1000000000000001E-2</c:v>
                </c:pt>
                <c:pt idx="71">
                  <c:v>2.3000000000000003E-2</c:v>
                </c:pt>
                <c:pt idx="72">
                  <c:v>2.5999999999999999E-2</c:v>
                </c:pt>
                <c:pt idx="73">
                  <c:v>2.1000000000000001E-2</c:v>
                </c:pt>
                <c:pt idx="74">
                  <c:v>1.9E-2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AA-4100-BF0B-432A1A55B668}"/>
            </c:ext>
          </c:extLst>
        </c:ser>
        <c:ser>
          <c:idx val="1"/>
          <c:order val="1"/>
          <c:tx>
            <c:strRef>
              <c:f>CP!$L$322</c:f>
              <c:strCache>
                <c:ptCount val="1"/>
                <c:pt idx="0">
                  <c:v>AE n=3000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CP!$L$323:$L$397</c:f>
              <c:numCache>
                <c:formatCode>General</c:formatCode>
                <c:ptCount val="75"/>
                <c:pt idx="0">
                  <c:v>9.2894056847545037E-2</c:v>
                </c:pt>
                <c:pt idx="1">
                  <c:v>9.4186046511627874E-2</c:v>
                </c:pt>
                <c:pt idx="2">
                  <c:v>0.12157622739018033</c:v>
                </c:pt>
                <c:pt idx="3">
                  <c:v>0.14328165374676968</c:v>
                </c:pt>
                <c:pt idx="4">
                  <c:v>0.15671834625322933</c:v>
                </c:pt>
                <c:pt idx="5">
                  <c:v>0.153617571059431</c:v>
                </c:pt>
                <c:pt idx="6">
                  <c:v>0.15684754521963765</c:v>
                </c:pt>
                <c:pt idx="7">
                  <c:v>0.14741602067183399</c:v>
                </c:pt>
                <c:pt idx="8">
                  <c:v>0.12441860465116232</c:v>
                </c:pt>
                <c:pt idx="9">
                  <c:v>0.14638242894056833</c:v>
                </c:pt>
                <c:pt idx="10">
                  <c:v>0.140568475452196</c:v>
                </c:pt>
                <c:pt idx="11">
                  <c:v>0.13759689922480567</c:v>
                </c:pt>
                <c:pt idx="12">
                  <c:v>0.14974160206718298</c:v>
                </c:pt>
                <c:pt idx="13">
                  <c:v>0.14147286821705399</c:v>
                </c:pt>
                <c:pt idx="14">
                  <c:v>0.13901808785529665</c:v>
                </c:pt>
                <c:pt idx="15">
                  <c:v>0.13087855297157566</c:v>
                </c:pt>
                <c:pt idx="16">
                  <c:v>0.11770025839793201</c:v>
                </c:pt>
                <c:pt idx="17">
                  <c:v>0.11873385012919835</c:v>
                </c:pt>
                <c:pt idx="18">
                  <c:v>0.11498708010335867</c:v>
                </c:pt>
                <c:pt idx="19">
                  <c:v>0.10452196382428898</c:v>
                </c:pt>
                <c:pt idx="20">
                  <c:v>9.9095607235141811E-2</c:v>
                </c:pt>
                <c:pt idx="21">
                  <c:v>0.108527131782945</c:v>
                </c:pt>
                <c:pt idx="22">
                  <c:v>9.75452196382426E-2</c:v>
                </c:pt>
                <c:pt idx="23">
                  <c:v>9.9741602067183341E-2</c:v>
                </c:pt>
                <c:pt idx="24">
                  <c:v>9.9095607235141991E-2</c:v>
                </c:pt>
                <c:pt idx="25">
                  <c:v>9.1602067183462241E-2</c:v>
                </c:pt>
                <c:pt idx="26">
                  <c:v>9.7286821705426282E-2</c:v>
                </c:pt>
                <c:pt idx="27">
                  <c:v>9.3281653746769791E-2</c:v>
                </c:pt>
                <c:pt idx="28">
                  <c:v>8.9147286821705404E-2</c:v>
                </c:pt>
                <c:pt idx="29">
                  <c:v>8.9664082687338456E-2</c:v>
                </c:pt>
                <c:pt idx="30">
                  <c:v>9.7416020671834372E-2</c:v>
                </c:pt>
                <c:pt idx="31">
                  <c:v>9.3023255813953432E-2</c:v>
                </c:pt>
                <c:pt idx="32">
                  <c:v>9.3410852713178241E-2</c:v>
                </c:pt>
                <c:pt idx="33">
                  <c:v>8.9793281653746712E-2</c:v>
                </c:pt>
                <c:pt idx="34">
                  <c:v>9.3540051679586525E-2</c:v>
                </c:pt>
                <c:pt idx="35">
                  <c:v>8.9922480620154968E-2</c:v>
                </c:pt>
                <c:pt idx="36">
                  <c:v>9.625322997416004E-2</c:v>
                </c:pt>
                <c:pt idx="37">
                  <c:v>8.8372093023255785E-2</c:v>
                </c:pt>
                <c:pt idx="38">
                  <c:v>9.0697674418604615E-2</c:v>
                </c:pt>
                <c:pt idx="39">
                  <c:v>8.9147286821705404E-2</c:v>
                </c:pt>
                <c:pt idx="40">
                  <c:v>8.8759689922480567E-2</c:v>
                </c:pt>
                <c:pt idx="41">
                  <c:v>8.7338501291989654E-2</c:v>
                </c:pt>
                <c:pt idx="42">
                  <c:v>8.3850129198966339E-2</c:v>
                </c:pt>
                <c:pt idx="43">
                  <c:v>8.2299741602067142E-2</c:v>
                </c:pt>
                <c:pt idx="44">
                  <c:v>8.1912144702842374E-2</c:v>
                </c:pt>
                <c:pt idx="45">
                  <c:v>8.4366925064599474E-2</c:v>
                </c:pt>
                <c:pt idx="46">
                  <c:v>8.6046511627906927E-2</c:v>
                </c:pt>
                <c:pt idx="47">
                  <c:v>8.2428940568475398E-2</c:v>
                </c:pt>
                <c:pt idx="48">
                  <c:v>8.2687338501291938E-2</c:v>
                </c:pt>
                <c:pt idx="49">
                  <c:v>8.0878552971576201E-2</c:v>
                </c:pt>
                <c:pt idx="50">
                  <c:v>7.9844961240310056E-2</c:v>
                </c:pt>
                <c:pt idx="51">
                  <c:v>8.0490956072351405E-2</c:v>
                </c:pt>
                <c:pt idx="52">
                  <c:v>7.1963824289405676E-2</c:v>
                </c:pt>
                <c:pt idx="53">
                  <c:v>7.3255813953488361E-2</c:v>
                </c:pt>
                <c:pt idx="54">
                  <c:v>7.6485788113695038E-2</c:v>
                </c:pt>
                <c:pt idx="55">
                  <c:v>7.4418604651162734E-2</c:v>
                </c:pt>
                <c:pt idx="56">
                  <c:v>7.6614987080103336E-2</c:v>
                </c:pt>
                <c:pt idx="57">
                  <c:v>7.2222222222222174E-2</c:v>
                </c:pt>
                <c:pt idx="58">
                  <c:v>7.506459948320407E-2</c:v>
                </c:pt>
                <c:pt idx="59">
                  <c:v>6.9509043927648534E-2</c:v>
                </c:pt>
                <c:pt idx="60">
                  <c:v>6.6795865633074894E-2</c:v>
                </c:pt>
                <c:pt idx="61">
                  <c:v>6.7441860465116188E-2</c:v>
                </c:pt>
                <c:pt idx="62">
                  <c:v>7.1059431524547731E-2</c:v>
                </c:pt>
                <c:pt idx="63">
                  <c:v>6.3953488372092998E-2</c:v>
                </c:pt>
                <c:pt idx="64">
                  <c:v>7.1834625322997378E-2</c:v>
                </c:pt>
                <c:pt idx="65">
                  <c:v>6.6149870801033531E-2</c:v>
                </c:pt>
                <c:pt idx="66">
                  <c:v>6.8346253229974105E-2</c:v>
                </c:pt>
                <c:pt idx="67">
                  <c:v>6.7183462532299704E-2</c:v>
                </c:pt>
                <c:pt idx="68">
                  <c:v>7.0671834625322935E-2</c:v>
                </c:pt>
                <c:pt idx="69">
                  <c:v>6.6795865633074894E-2</c:v>
                </c:pt>
                <c:pt idx="70">
                  <c:v>7.1963824289405634E-2</c:v>
                </c:pt>
                <c:pt idx="71">
                  <c:v>6.5633074935400493E-2</c:v>
                </c:pt>
                <c:pt idx="72">
                  <c:v>7.1834625322997378E-2</c:v>
                </c:pt>
                <c:pt idx="73">
                  <c:v>6.5633074935400479E-2</c:v>
                </c:pt>
                <c:pt idx="74">
                  <c:v>6.3695090439276444E-2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AA-4100-BF0B-432A1A55B668}"/>
            </c:ext>
          </c:extLst>
        </c:ser>
        <c:ser>
          <c:idx val="2"/>
          <c:order val="2"/>
          <c:tx>
            <c:strRef>
              <c:f>CP!$M$322</c:f>
              <c:strCache>
                <c:ptCount val="1"/>
                <c:pt idx="0">
                  <c:v>IF n=3000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CP!$M$323:$M$397</c:f>
              <c:numCache>
                <c:formatCode>General</c:formatCode>
                <c:ptCount val="75"/>
                <c:pt idx="0">
                  <c:v>6.5464999999999995E-2</c:v>
                </c:pt>
                <c:pt idx="1">
                  <c:v>7.0503999999999997E-2</c:v>
                </c:pt>
                <c:pt idx="2">
                  <c:v>6.8953E-2</c:v>
                </c:pt>
                <c:pt idx="3">
                  <c:v>7.3992000000000002E-2</c:v>
                </c:pt>
                <c:pt idx="4">
                  <c:v>6.9728999999999999E-2</c:v>
                </c:pt>
                <c:pt idx="5">
                  <c:v>6.1976999999999997E-2</c:v>
                </c:pt>
                <c:pt idx="6">
                  <c:v>6.3140000000000002E-2</c:v>
                </c:pt>
                <c:pt idx="7">
                  <c:v>6.5077999999999997E-2</c:v>
                </c:pt>
                <c:pt idx="8">
                  <c:v>5.9651000000000003E-2</c:v>
                </c:pt>
                <c:pt idx="9">
                  <c:v>6.3915E-2</c:v>
                </c:pt>
                <c:pt idx="10">
                  <c:v>6.1201999999999999E-2</c:v>
                </c:pt>
                <c:pt idx="11">
                  <c:v>5.7326000000000009E-2</c:v>
                </c:pt>
                <c:pt idx="12">
                  <c:v>6.2364000000000003E-2</c:v>
                </c:pt>
                <c:pt idx="13">
                  <c:v>5.655000000000001E-2</c:v>
                </c:pt>
                <c:pt idx="14">
                  <c:v>5.1512000000000002E-2</c:v>
                </c:pt>
                <c:pt idx="15">
                  <c:v>4.9186000000000001E-2</c:v>
                </c:pt>
                <c:pt idx="16">
                  <c:v>5.3449999999999998E-2</c:v>
                </c:pt>
                <c:pt idx="17">
                  <c:v>4.9186000000000001E-2</c:v>
                </c:pt>
                <c:pt idx="18">
                  <c:v>5.0348999999999998E-2</c:v>
                </c:pt>
                <c:pt idx="19">
                  <c:v>4.8411000000000003E-2</c:v>
                </c:pt>
                <c:pt idx="20">
                  <c:v>4.3372000000000001E-2</c:v>
                </c:pt>
                <c:pt idx="21">
                  <c:v>4.4146999999999999E-2</c:v>
                </c:pt>
                <c:pt idx="22">
                  <c:v>3.8332999999999999E-2</c:v>
                </c:pt>
                <c:pt idx="23">
                  <c:v>4.2209000000000003E-2</c:v>
                </c:pt>
                <c:pt idx="24">
                  <c:v>3.9496000000000003E-2</c:v>
                </c:pt>
                <c:pt idx="25">
                  <c:v>4.376E-2</c:v>
                </c:pt>
                <c:pt idx="26">
                  <c:v>4.3372000000000001E-2</c:v>
                </c:pt>
                <c:pt idx="27">
                  <c:v>3.9496000000000003E-2</c:v>
                </c:pt>
                <c:pt idx="28">
                  <c:v>3.8720999999999998E-2</c:v>
                </c:pt>
                <c:pt idx="29">
                  <c:v>4.3372000000000001E-2</c:v>
                </c:pt>
                <c:pt idx="30">
                  <c:v>4.1821999999999998E-2</c:v>
                </c:pt>
                <c:pt idx="31">
                  <c:v>4.1047E-2</c:v>
                </c:pt>
                <c:pt idx="32">
                  <c:v>3.9496000000000003E-2</c:v>
                </c:pt>
                <c:pt idx="33">
                  <c:v>3.9884000000000003E-2</c:v>
                </c:pt>
                <c:pt idx="34">
                  <c:v>3.8332999999999999E-2</c:v>
                </c:pt>
                <c:pt idx="35">
                  <c:v>3.6394999999999997E-2</c:v>
                </c:pt>
                <c:pt idx="36">
                  <c:v>4.0271000000000001E-2</c:v>
                </c:pt>
                <c:pt idx="37">
                  <c:v>3.7558000000000001E-2</c:v>
                </c:pt>
                <c:pt idx="38">
                  <c:v>3.8332999999999999E-2</c:v>
                </c:pt>
                <c:pt idx="39">
                  <c:v>3.5233E-2</c:v>
                </c:pt>
                <c:pt idx="40">
                  <c:v>3.6783000000000003E-2</c:v>
                </c:pt>
                <c:pt idx="41">
                  <c:v>3.5619999999999999E-2</c:v>
                </c:pt>
                <c:pt idx="42">
                  <c:v>3.4457000000000002E-2</c:v>
                </c:pt>
                <c:pt idx="43">
                  <c:v>3.4845000000000001E-2</c:v>
                </c:pt>
                <c:pt idx="44">
                  <c:v>3.3294999999999998E-2</c:v>
                </c:pt>
                <c:pt idx="45">
                  <c:v>2.9031000000000001E-2</c:v>
                </c:pt>
                <c:pt idx="46">
                  <c:v>3.1744000000000001E-2</c:v>
                </c:pt>
                <c:pt idx="47">
                  <c:v>3.6007999999999998E-2</c:v>
                </c:pt>
                <c:pt idx="48">
                  <c:v>3.1357000000000003E-2</c:v>
                </c:pt>
                <c:pt idx="49">
                  <c:v>3.6394999999999997E-2</c:v>
                </c:pt>
                <c:pt idx="50">
                  <c:v>3.1357000000000003E-2</c:v>
                </c:pt>
                <c:pt idx="51">
                  <c:v>3.1357000000000003E-2</c:v>
                </c:pt>
                <c:pt idx="52">
                  <c:v>3.0581000000000001E-2</c:v>
                </c:pt>
                <c:pt idx="53">
                  <c:v>2.7868E-2</c:v>
                </c:pt>
                <c:pt idx="54">
                  <c:v>2.9805999999999999E-2</c:v>
                </c:pt>
                <c:pt idx="55">
                  <c:v>2.8642999999999998E-2</c:v>
                </c:pt>
                <c:pt idx="56">
                  <c:v>2.9031000000000001E-2</c:v>
                </c:pt>
                <c:pt idx="57">
                  <c:v>3.0193999999999999E-2</c:v>
                </c:pt>
                <c:pt idx="58">
                  <c:v>2.9419000000000001E-2</c:v>
                </c:pt>
                <c:pt idx="59">
                  <c:v>2.9805999999999999E-2</c:v>
                </c:pt>
                <c:pt idx="60">
                  <c:v>2.7868E-2</c:v>
                </c:pt>
                <c:pt idx="61">
                  <c:v>2.5155E-2</c:v>
                </c:pt>
                <c:pt idx="62">
                  <c:v>2.5155E-2</c:v>
                </c:pt>
                <c:pt idx="63">
                  <c:v>2.5929999999999998E-2</c:v>
                </c:pt>
                <c:pt idx="64">
                  <c:v>2.8642999999999998E-2</c:v>
                </c:pt>
                <c:pt idx="65">
                  <c:v>2.3605000000000001E-2</c:v>
                </c:pt>
                <c:pt idx="66">
                  <c:v>2.7868E-2</c:v>
                </c:pt>
                <c:pt idx="67">
                  <c:v>2.7092999999999996E-2</c:v>
                </c:pt>
                <c:pt idx="68">
                  <c:v>2.7868E-2</c:v>
                </c:pt>
                <c:pt idx="69">
                  <c:v>2.4767000000000001E-2</c:v>
                </c:pt>
                <c:pt idx="70">
                  <c:v>2.5543E-2</c:v>
                </c:pt>
                <c:pt idx="71">
                  <c:v>2.7092999999999996E-2</c:v>
                </c:pt>
                <c:pt idx="72">
                  <c:v>2.5155E-2</c:v>
                </c:pt>
                <c:pt idx="73">
                  <c:v>2.4379999999999999E-2</c:v>
                </c:pt>
                <c:pt idx="74">
                  <c:v>2.3217000000000002E-2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AA-4100-BF0B-432A1A55B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4712527"/>
        <c:axId val="1094713007"/>
      </c:lineChart>
      <c:catAx>
        <c:axId val="109471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713007"/>
        <c:crosses val="autoZero"/>
        <c:auto val="1"/>
        <c:lblAlgn val="ctr"/>
        <c:lblOffset val="100"/>
        <c:noMultiLvlLbl val="0"/>
      </c:catAx>
      <c:valAx>
        <c:axId val="109471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71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CP Decomposition Validation Objective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CP!$B$322</c:f>
              <c:strCache>
                <c:ptCount val="1"/>
                <c:pt idx="0">
                  <c:v>OCSVM n=500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CP!$A$323:$A$397</c:f>
              <c:numCache>
                <c:formatCode>General</c:formatCode>
                <c:ptCount val="7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  <c:pt idx="8">
                  <c:v>55</c:v>
                </c:pt>
                <c:pt idx="9">
                  <c:v>60</c:v>
                </c:pt>
                <c:pt idx="10">
                  <c:v>65</c:v>
                </c:pt>
                <c:pt idx="11">
                  <c:v>70</c:v>
                </c:pt>
                <c:pt idx="12">
                  <c:v>75</c:v>
                </c:pt>
                <c:pt idx="13">
                  <c:v>80</c:v>
                </c:pt>
                <c:pt idx="14">
                  <c:v>85</c:v>
                </c:pt>
                <c:pt idx="15">
                  <c:v>90</c:v>
                </c:pt>
                <c:pt idx="16">
                  <c:v>95</c:v>
                </c:pt>
                <c:pt idx="17">
                  <c:v>100</c:v>
                </c:pt>
                <c:pt idx="18">
                  <c:v>105</c:v>
                </c:pt>
                <c:pt idx="19">
                  <c:v>110</c:v>
                </c:pt>
                <c:pt idx="20">
                  <c:v>115</c:v>
                </c:pt>
                <c:pt idx="21">
                  <c:v>120</c:v>
                </c:pt>
                <c:pt idx="22">
                  <c:v>125</c:v>
                </c:pt>
                <c:pt idx="23">
                  <c:v>130</c:v>
                </c:pt>
                <c:pt idx="24">
                  <c:v>135</c:v>
                </c:pt>
                <c:pt idx="25">
                  <c:v>140</c:v>
                </c:pt>
                <c:pt idx="26">
                  <c:v>145</c:v>
                </c:pt>
                <c:pt idx="27">
                  <c:v>150</c:v>
                </c:pt>
                <c:pt idx="28">
                  <c:v>155</c:v>
                </c:pt>
                <c:pt idx="29">
                  <c:v>160</c:v>
                </c:pt>
                <c:pt idx="30">
                  <c:v>165</c:v>
                </c:pt>
                <c:pt idx="31">
                  <c:v>170</c:v>
                </c:pt>
                <c:pt idx="32">
                  <c:v>175</c:v>
                </c:pt>
                <c:pt idx="33">
                  <c:v>180</c:v>
                </c:pt>
                <c:pt idx="34">
                  <c:v>185</c:v>
                </c:pt>
                <c:pt idx="35">
                  <c:v>190</c:v>
                </c:pt>
                <c:pt idx="36">
                  <c:v>195</c:v>
                </c:pt>
                <c:pt idx="37">
                  <c:v>200</c:v>
                </c:pt>
                <c:pt idx="38">
                  <c:v>205</c:v>
                </c:pt>
                <c:pt idx="39">
                  <c:v>210</c:v>
                </c:pt>
                <c:pt idx="40">
                  <c:v>215</c:v>
                </c:pt>
                <c:pt idx="41">
                  <c:v>220</c:v>
                </c:pt>
                <c:pt idx="42">
                  <c:v>225</c:v>
                </c:pt>
                <c:pt idx="43">
                  <c:v>230</c:v>
                </c:pt>
                <c:pt idx="44">
                  <c:v>235</c:v>
                </c:pt>
                <c:pt idx="45">
                  <c:v>240</c:v>
                </c:pt>
                <c:pt idx="46">
                  <c:v>245</c:v>
                </c:pt>
                <c:pt idx="47">
                  <c:v>250</c:v>
                </c:pt>
                <c:pt idx="48">
                  <c:v>255</c:v>
                </c:pt>
                <c:pt idx="49">
                  <c:v>260</c:v>
                </c:pt>
                <c:pt idx="50">
                  <c:v>265</c:v>
                </c:pt>
                <c:pt idx="51">
                  <c:v>270</c:v>
                </c:pt>
                <c:pt idx="52">
                  <c:v>275</c:v>
                </c:pt>
                <c:pt idx="53">
                  <c:v>280</c:v>
                </c:pt>
                <c:pt idx="54">
                  <c:v>285</c:v>
                </c:pt>
                <c:pt idx="55">
                  <c:v>290</c:v>
                </c:pt>
                <c:pt idx="56">
                  <c:v>295</c:v>
                </c:pt>
                <c:pt idx="57">
                  <c:v>300</c:v>
                </c:pt>
                <c:pt idx="58">
                  <c:v>305</c:v>
                </c:pt>
                <c:pt idx="59">
                  <c:v>310</c:v>
                </c:pt>
                <c:pt idx="60">
                  <c:v>315</c:v>
                </c:pt>
                <c:pt idx="61">
                  <c:v>320</c:v>
                </c:pt>
                <c:pt idx="62">
                  <c:v>325</c:v>
                </c:pt>
                <c:pt idx="63">
                  <c:v>330</c:v>
                </c:pt>
                <c:pt idx="64">
                  <c:v>335</c:v>
                </c:pt>
                <c:pt idx="65">
                  <c:v>340</c:v>
                </c:pt>
                <c:pt idx="66">
                  <c:v>345</c:v>
                </c:pt>
                <c:pt idx="67">
                  <c:v>350</c:v>
                </c:pt>
                <c:pt idx="68">
                  <c:v>355</c:v>
                </c:pt>
                <c:pt idx="69">
                  <c:v>360</c:v>
                </c:pt>
                <c:pt idx="70">
                  <c:v>365</c:v>
                </c:pt>
                <c:pt idx="71">
                  <c:v>370</c:v>
                </c:pt>
                <c:pt idx="72">
                  <c:v>375</c:v>
                </c:pt>
                <c:pt idx="73">
                  <c:v>380</c:v>
                </c:pt>
              </c:numCache>
            </c:numRef>
          </c:cat>
          <c:val>
            <c:numRef>
              <c:f>CP!$B$323:$B$397</c:f>
              <c:numCache>
                <c:formatCode>General</c:formatCode>
                <c:ptCount val="75"/>
                <c:pt idx="0">
                  <c:v>4.2666666666666665E-2</c:v>
                </c:pt>
                <c:pt idx="1">
                  <c:v>0.03</c:v>
                </c:pt>
                <c:pt idx="2">
                  <c:v>4.3333333333333335E-2</c:v>
                </c:pt>
                <c:pt idx="3">
                  <c:v>2.6666666666666668E-2</c:v>
                </c:pt>
                <c:pt idx="4">
                  <c:v>4.9666666666666671E-2</c:v>
                </c:pt>
                <c:pt idx="5">
                  <c:v>4.9666666666666671E-2</c:v>
                </c:pt>
                <c:pt idx="6">
                  <c:v>5.9333333333333328E-2</c:v>
                </c:pt>
                <c:pt idx="7">
                  <c:v>4.6333333333333337E-2</c:v>
                </c:pt>
                <c:pt idx="8">
                  <c:v>5.9333333333333342E-2</c:v>
                </c:pt>
                <c:pt idx="9">
                  <c:v>5.6333333333333326E-2</c:v>
                </c:pt>
                <c:pt idx="10">
                  <c:v>6.2666666666666662E-2</c:v>
                </c:pt>
                <c:pt idx="11">
                  <c:v>6.2666666666666662E-2</c:v>
                </c:pt>
                <c:pt idx="12">
                  <c:v>0.11233333333333334</c:v>
                </c:pt>
                <c:pt idx="13">
                  <c:v>0.15500000000000003</c:v>
                </c:pt>
                <c:pt idx="14">
                  <c:v>0.16800000000000001</c:v>
                </c:pt>
                <c:pt idx="15">
                  <c:v>0.21133333333333329</c:v>
                </c:pt>
                <c:pt idx="16">
                  <c:v>0.20800000000000005</c:v>
                </c:pt>
                <c:pt idx="17">
                  <c:v>0.25733333333333336</c:v>
                </c:pt>
                <c:pt idx="18">
                  <c:v>0.28699999999999998</c:v>
                </c:pt>
                <c:pt idx="19">
                  <c:v>0.307</c:v>
                </c:pt>
                <c:pt idx="20">
                  <c:v>0.3036666666666667</c:v>
                </c:pt>
                <c:pt idx="21">
                  <c:v>0.33033333333333337</c:v>
                </c:pt>
                <c:pt idx="22">
                  <c:v>0.36000000000000004</c:v>
                </c:pt>
                <c:pt idx="23">
                  <c:v>0.36333333333333329</c:v>
                </c:pt>
                <c:pt idx="24">
                  <c:v>0.3793333333333333</c:v>
                </c:pt>
                <c:pt idx="25">
                  <c:v>0.42266666666666669</c:v>
                </c:pt>
                <c:pt idx="26">
                  <c:v>0.45233333333333331</c:v>
                </c:pt>
                <c:pt idx="27">
                  <c:v>0.44566666666666666</c:v>
                </c:pt>
                <c:pt idx="28">
                  <c:v>0.46233333333333332</c:v>
                </c:pt>
                <c:pt idx="29">
                  <c:v>0.50166666666666659</c:v>
                </c:pt>
                <c:pt idx="30">
                  <c:v>0.53799999999999992</c:v>
                </c:pt>
                <c:pt idx="31">
                  <c:v>0.56400000000000006</c:v>
                </c:pt>
                <c:pt idx="32">
                  <c:v>0.58733333333333337</c:v>
                </c:pt>
                <c:pt idx="33">
                  <c:v>0.60733333333333339</c:v>
                </c:pt>
                <c:pt idx="34">
                  <c:v>0.63700000000000001</c:v>
                </c:pt>
                <c:pt idx="35">
                  <c:v>0.65333333333333332</c:v>
                </c:pt>
                <c:pt idx="36">
                  <c:v>0.69633333333333336</c:v>
                </c:pt>
                <c:pt idx="37">
                  <c:v>0.69633333333333336</c:v>
                </c:pt>
                <c:pt idx="38">
                  <c:v>0.70633333333333337</c:v>
                </c:pt>
                <c:pt idx="39">
                  <c:v>0.73933333333333329</c:v>
                </c:pt>
                <c:pt idx="40">
                  <c:v>0.76200000000000001</c:v>
                </c:pt>
                <c:pt idx="41">
                  <c:v>0.77199999999999991</c:v>
                </c:pt>
                <c:pt idx="42">
                  <c:v>0.80200000000000005</c:v>
                </c:pt>
                <c:pt idx="43">
                  <c:v>0.80200000000000005</c:v>
                </c:pt>
                <c:pt idx="44">
                  <c:v>0.84799999999999998</c:v>
                </c:pt>
                <c:pt idx="45">
                  <c:v>0.83166666666666667</c:v>
                </c:pt>
                <c:pt idx="46">
                  <c:v>0.84833333333333327</c:v>
                </c:pt>
                <c:pt idx="47">
                  <c:v>0.85466666666666669</c:v>
                </c:pt>
                <c:pt idx="48">
                  <c:v>0.85799999999999998</c:v>
                </c:pt>
                <c:pt idx="49">
                  <c:v>0.86133333333333317</c:v>
                </c:pt>
                <c:pt idx="50">
                  <c:v>0.8746666666666667</c:v>
                </c:pt>
                <c:pt idx="51">
                  <c:v>0.88099999999999989</c:v>
                </c:pt>
                <c:pt idx="52">
                  <c:v>0.88766666666666671</c:v>
                </c:pt>
                <c:pt idx="53">
                  <c:v>0.8843333333333333</c:v>
                </c:pt>
                <c:pt idx="54">
                  <c:v>0.89100000000000001</c:v>
                </c:pt>
                <c:pt idx="55">
                  <c:v>0.89433333333333331</c:v>
                </c:pt>
                <c:pt idx="56">
                  <c:v>0.89766666666666672</c:v>
                </c:pt>
                <c:pt idx="57">
                  <c:v>0.89766666666666672</c:v>
                </c:pt>
                <c:pt idx="58">
                  <c:v>0.89766666666666672</c:v>
                </c:pt>
                <c:pt idx="59">
                  <c:v>1</c:v>
                </c:pt>
                <c:pt idx="60">
                  <c:v>0.89766666666666672</c:v>
                </c:pt>
                <c:pt idx="61">
                  <c:v>0.89766666666666672</c:v>
                </c:pt>
                <c:pt idx="62">
                  <c:v>0.90100000000000013</c:v>
                </c:pt>
                <c:pt idx="63">
                  <c:v>0.90100000000000013</c:v>
                </c:pt>
                <c:pt idx="64">
                  <c:v>0.90766666666666662</c:v>
                </c:pt>
                <c:pt idx="65">
                  <c:v>0.90766666666666662</c:v>
                </c:pt>
                <c:pt idx="66">
                  <c:v>0.92099999999999993</c:v>
                </c:pt>
                <c:pt idx="67">
                  <c:v>0.94099999999999995</c:v>
                </c:pt>
                <c:pt idx="68">
                  <c:v>0.93100000000000005</c:v>
                </c:pt>
                <c:pt idx="69">
                  <c:v>0.97000000000000008</c:v>
                </c:pt>
                <c:pt idx="70">
                  <c:v>0.96</c:v>
                </c:pt>
                <c:pt idx="71">
                  <c:v>0.95333333333333325</c:v>
                </c:pt>
                <c:pt idx="72">
                  <c:v>0.98333333333333339</c:v>
                </c:pt>
                <c:pt idx="73">
                  <c:v>0.96333333333333326</c:v>
                </c:pt>
                <c:pt idx="74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AE-4942-BD51-8D905033BF3D}"/>
            </c:ext>
          </c:extLst>
        </c:ser>
        <c:ser>
          <c:idx val="1"/>
          <c:order val="1"/>
          <c:tx>
            <c:strRef>
              <c:f>CP!$C$322</c:f>
              <c:strCache>
                <c:ptCount val="1"/>
                <c:pt idx="0">
                  <c:v>AE n=500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CP!$A$323:$A$397</c:f>
              <c:numCache>
                <c:formatCode>General</c:formatCode>
                <c:ptCount val="7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  <c:pt idx="8">
                  <c:v>55</c:v>
                </c:pt>
                <c:pt idx="9">
                  <c:v>60</c:v>
                </c:pt>
                <c:pt idx="10">
                  <c:v>65</c:v>
                </c:pt>
                <c:pt idx="11">
                  <c:v>70</c:v>
                </c:pt>
                <c:pt idx="12">
                  <c:v>75</c:v>
                </c:pt>
                <c:pt idx="13">
                  <c:v>80</c:v>
                </c:pt>
                <c:pt idx="14">
                  <c:v>85</c:v>
                </c:pt>
                <c:pt idx="15">
                  <c:v>90</c:v>
                </c:pt>
                <c:pt idx="16">
                  <c:v>95</c:v>
                </c:pt>
                <c:pt idx="17">
                  <c:v>100</c:v>
                </c:pt>
                <c:pt idx="18">
                  <c:v>105</c:v>
                </c:pt>
                <c:pt idx="19">
                  <c:v>110</c:v>
                </c:pt>
                <c:pt idx="20">
                  <c:v>115</c:v>
                </c:pt>
                <c:pt idx="21">
                  <c:v>120</c:v>
                </c:pt>
                <c:pt idx="22">
                  <c:v>125</c:v>
                </c:pt>
                <c:pt idx="23">
                  <c:v>130</c:v>
                </c:pt>
                <c:pt idx="24">
                  <c:v>135</c:v>
                </c:pt>
                <c:pt idx="25">
                  <c:v>140</c:v>
                </c:pt>
                <c:pt idx="26">
                  <c:v>145</c:v>
                </c:pt>
                <c:pt idx="27">
                  <c:v>150</c:v>
                </c:pt>
                <c:pt idx="28">
                  <c:v>155</c:v>
                </c:pt>
                <c:pt idx="29">
                  <c:v>160</c:v>
                </c:pt>
                <c:pt idx="30">
                  <c:v>165</c:v>
                </c:pt>
                <c:pt idx="31">
                  <c:v>170</c:v>
                </c:pt>
                <c:pt idx="32">
                  <c:v>175</c:v>
                </c:pt>
                <c:pt idx="33">
                  <c:v>180</c:v>
                </c:pt>
                <c:pt idx="34">
                  <c:v>185</c:v>
                </c:pt>
                <c:pt idx="35">
                  <c:v>190</c:v>
                </c:pt>
                <c:pt idx="36">
                  <c:v>195</c:v>
                </c:pt>
                <c:pt idx="37">
                  <c:v>200</c:v>
                </c:pt>
                <c:pt idx="38">
                  <c:v>205</c:v>
                </c:pt>
                <c:pt idx="39">
                  <c:v>210</c:v>
                </c:pt>
                <c:pt idx="40">
                  <c:v>215</c:v>
                </c:pt>
                <c:pt idx="41">
                  <c:v>220</c:v>
                </c:pt>
                <c:pt idx="42">
                  <c:v>225</c:v>
                </c:pt>
                <c:pt idx="43">
                  <c:v>230</c:v>
                </c:pt>
                <c:pt idx="44">
                  <c:v>235</c:v>
                </c:pt>
                <c:pt idx="45">
                  <c:v>240</c:v>
                </c:pt>
                <c:pt idx="46">
                  <c:v>245</c:v>
                </c:pt>
                <c:pt idx="47">
                  <c:v>250</c:v>
                </c:pt>
                <c:pt idx="48">
                  <c:v>255</c:v>
                </c:pt>
                <c:pt idx="49">
                  <c:v>260</c:v>
                </c:pt>
                <c:pt idx="50">
                  <c:v>265</c:v>
                </c:pt>
                <c:pt idx="51">
                  <c:v>270</c:v>
                </c:pt>
                <c:pt idx="52">
                  <c:v>275</c:v>
                </c:pt>
                <c:pt idx="53">
                  <c:v>280</c:v>
                </c:pt>
                <c:pt idx="54">
                  <c:v>285</c:v>
                </c:pt>
                <c:pt idx="55">
                  <c:v>290</c:v>
                </c:pt>
                <c:pt idx="56">
                  <c:v>295</c:v>
                </c:pt>
                <c:pt idx="57">
                  <c:v>300</c:v>
                </c:pt>
                <c:pt idx="58">
                  <c:v>305</c:v>
                </c:pt>
                <c:pt idx="59">
                  <c:v>310</c:v>
                </c:pt>
                <c:pt idx="60">
                  <c:v>315</c:v>
                </c:pt>
                <c:pt idx="61">
                  <c:v>320</c:v>
                </c:pt>
                <c:pt idx="62">
                  <c:v>325</c:v>
                </c:pt>
                <c:pt idx="63">
                  <c:v>330</c:v>
                </c:pt>
                <c:pt idx="64">
                  <c:v>335</c:v>
                </c:pt>
                <c:pt idx="65">
                  <c:v>340</c:v>
                </c:pt>
                <c:pt idx="66">
                  <c:v>345</c:v>
                </c:pt>
                <c:pt idx="67">
                  <c:v>350</c:v>
                </c:pt>
                <c:pt idx="68">
                  <c:v>355</c:v>
                </c:pt>
                <c:pt idx="69">
                  <c:v>360</c:v>
                </c:pt>
                <c:pt idx="70">
                  <c:v>365</c:v>
                </c:pt>
                <c:pt idx="71">
                  <c:v>370</c:v>
                </c:pt>
                <c:pt idx="72">
                  <c:v>375</c:v>
                </c:pt>
                <c:pt idx="73">
                  <c:v>380</c:v>
                </c:pt>
              </c:numCache>
            </c:numRef>
          </c:cat>
          <c:val>
            <c:numRef>
              <c:f>CP!$C$323:$C$397</c:f>
              <c:numCache>
                <c:formatCode>General</c:formatCode>
                <c:ptCount val="75"/>
                <c:pt idx="0">
                  <c:v>0.16281628162816233</c:v>
                </c:pt>
                <c:pt idx="1">
                  <c:v>0.26677667766776603</c:v>
                </c:pt>
                <c:pt idx="2">
                  <c:v>0.33608360836083567</c:v>
                </c:pt>
                <c:pt idx="3">
                  <c:v>0.25467546754675402</c:v>
                </c:pt>
                <c:pt idx="4">
                  <c:v>0.32453245324532398</c:v>
                </c:pt>
                <c:pt idx="5">
                  <c:v>0.22112211221122066</c:v>
                </c:pt>
                <c:pt idx="6">
                  <c:v>0.211221122112211</c:v>
                </c:pt>
                <c:pt idx="7">
                  <c:v>0.22167216721672134</c:v>
                </c:pt>
                <c:pt idx="8">
                  <c:v>0.19856985698569798</c:v>
                </c:pt>
                <c:pt idx="9">
                  <c:v>0.16006600660065964</c:v>
                </c:pt>
                <c:pt idx="10">
                  <c:v>0.14631463146314566</c:v>
                </c:pt>
                <c:pt idx="11">
                  <c:v>0.16941694169416865</c:v>
                </c:pt>
                <c:pt idx="12">
                  <c:v>0.19251925192519201</c:v>
                </c:pt>
                <c:pt idx="13">
                  <c:v>0.24257425742574198</c:v>
                </c:pt>
                <c:pt idx="14">
                  <c:v>0.24807480748074764</c:v>
                </c:pt>
                <c:pt idx="15">
                  <c:v>0.26182618261826129</c:v>
                </c:pt>
                <c:pt idx="16">
                  <c:v>0.25962596259625903</c:v>
                </c:pt>
                <c:pt idx="17">
                  <c:v>0.27557755775577503</c:v>
                </c:pt>
                <c:pt idx="18">
                  <c:v>0.29592959295929533</c:v>
                </c:pt>
                <c:pt idx="19">
                  <c:v>0.33003300330032936</c:v>
                </c:pt>
                <c:pt idx="20">
                  <c:v>0.33333333333333265</c:v>
                </c:pt>
                <c:pt idx="21">
                  <c:v>0.34708470847084633</c:v>
                </c:pt>
                <c:pt idx="22">
                  <c:v>0.3740374037403737</c:v>
                </c:pt>
                <c:pt idx="23">
                  <c:v>0.38393839383938327</c:v>
                </c:pt>
                <c:pt idx="24">
                  <c:v>0.39053905390538995</c:v>
                </c:pt>
                <c:pt idx="25">
                  <c:v>0.44169416941694095</c:v>
                </c:pt>
                <c:pt idx="26">
                  <c:v>0.46809680968096767</c:v>
                </c:pt>
                <c:pt idx="27">
                  <c:v>0.45049504950495001</c:v>
                </c:pt>
                <c:pt idx="28">
                  <c:v>0.47579757975797526</c:v>
                </c:pt>
                <c:pt idx="29">
                  <c:v>0.51595159515951561</c:v>
                </c:pt>
                <c:pt idx="30">
                  <c:v>0.54895489548954868</c:v>
                </c:pt>
                <c:pt idx="31">
                  <c:v>0.57260726072607238</c:v>
                </c:pt>
                <c:pt idx="32">
                  <c:v>0.58910891089108841</c:v>
                </c:pt>
                <c:pt idx="33">
                  <c:v>0.61771177117711729</c:v>
                </c:pt>
                <c:pt idx="34">
                  <c:v>0.63971397139713926</c:v>
                </c:pt>
                <c:pt idx="35">
                  <c:v>0.65786578657865735</c:v>
                </c:pt>
                <c:pt idx="36">
                  <c:v>0.69636963696369569</c:v>
                </c:pt>
                <c:pt idx="37">
                  <c:v>0.69746974697469744</c:v>
                </c:pt>
                <c:pt idx="38">
                  <c:v>0.70352035203520302</c:v>
                </c:pt>
                <c:pt idx="39">
                  <c:v>0.72827282728272769</c:v>
                </c:pt>
                <c:pt idx="40">
                  <c:v>0.75302530253025279</c:v>
                </c:pt>
                <c:pt idx="41">
                  <c:v>0.77392739273927369</c:v>
                </c:pt>
                <c:pt idx="42">
                  <c:v>0.78547854785478499</c:v>
                </c:pt>
                <c:pt idx="43">
                  <c:v>0.79152915291529113</c:v>
                </c:pt>
                <c:pt idx="44">
                  <c:v>0.84983498349834974</c:v>
                </c:pt>
                <c:pt idx="45">
                  <c:v>0.8305830583058299</c:v>
                </c:pt>
                <c:pt idx="46">
                  <c:v>0.84103410341034068</c:v>
                </c:pt>
                <c:pt idx="47">
                  <c:v>0.84708470847084705</c:v>
                </c:pt>
                <c:pt idx="48">
                  <c:v>0.85588558855885566</c:v>
                </c:pt>
                <c:pt idx="49">
                  <c:v>0.86248624862486201</c:v>
                </c:pt>
                <c:pt idx="50">
                  <c:v>0.87183718371837171</c:v>
                </c:pt>
                <c:pt idx="51">
                  <c:v>0.87953795379537902</c:v>
                </c:pt>
                <c:pt idx="52">
                  <c:v>0.887238723872387</c:v>
                </c:pt>
                <c:pt idx="53">
                  <c:v>0.88503850385038507</c:v>
                </c:pt>
                <c:pt idx="54">
                  <c:v>0.88668866886688669</c:v>
                </c:pt>
                <c:pt idx="55">
                  <c:v>0.894389438943894</c:v>
                </c:pt>
                <c:pt idx="56">
                  <c:v>0.89768976897689734</c:v>
                </c:pt>
                <c:pt idx="57">
                  <c:v>0.89768976897689734</c:v>
                </c:pt>
                <c:pt idx="58">
                  <c:v>0.89768976897689734</c:v>
                </c:pt>
                <c:pt idx="59">
                  <c:v>1</c:v>
                </c:pt>
                <c:pt idx="60">
                  <c:v>0.89768976897689734</c:v>
                </c:pt>
                <c:pt idx="61">
                  <c:v>0.89768976897689734</c:v>
                </c:pt>
                <c:pt idx="62">
                  <c:v>0.89823982398239799</c:v>
                </c:pt>
                <c:pt idx="63">
                  <c:v>0.90099009900990057</c:v>
                </c:pt>
                <c:pt idx="64">
                  <c:v>0.90759075907590692</c:v>
                </c:pt>
                <c:pt idx="65">
                  <c:v>0.90814081408140723</c:v>
                </c:pt>
                <c:pt idx="66">
                  <c:v>0.92134213421342059</c:v>
                </c:pt>
                <c:pt idx="67">
                  <c:v>0.93839383938393794</c:v>
                </c:pt>
                <c:pt idx="68">
                  <c:v>0.92739273927392674</c:v>
                </c:pt>
                <c:pt idx="69">
                  <c:v>0.96259625962596196</c:v>
                </c:pt>
                <c:pt idx="70">
                  <c:v>0.95819581958195765</c:v>
                </c:pt>
                <c:pt idx="71">
                  <c:v>0.94829482948294774</c:v>
                </c:pt>
                <c:pt idx="72">
                  <c:v>0.98349834983498319</c:v>
                </c:pt>
                <c:pt idx="73">
                  <c:v>0.96259625962596207</c:v>
                </c:pt>
                <c:pt idx="74">
                  <c:v>0.98019801980197985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AE-4942-BD51-8D905033BF3D}"/>
            </c:ext>
          </c:extLst>
        </c:ser>
        <c:ser>
          <c:idx val="2"/>
          <c:order val="2"/>
          <c:tx>
            <c:strRef>
              <c:f>CP!$D$322</c:f>
              <c:strCache>
                <c:ptCount val="1"/>
                <c:pt idx="0">
                  <c:v>IF n=500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CP!$A$323:$A$397</c:f>
              <c:numCache>
                <c:formatCode>General</c:formatCode>
                <c:ptCount val="7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  <c:pt idx="8">
                  <c:v>55</c:v>
                </c:pt>
                <c:pt idx="9">
                  <c:v>60</c:v>
                </c:pt>
                <c:pt idx="10">
                  <c:v>65</c:v>
                </c:pt>
                <c:pt idx="11">
                  <c:v>70</c:v>
                </c:pt>
                <c:pt idx="12">
                  <c:v>75</c:v>
                </c:pt>
                <c:pt idx="13">
                  <c:v>80</c:v>
                </c:pt>
                <c:pt idx="14">
                  <c:v>85</c:v>
                </c:pt>
                <c:pt idx="15">
                  <c:v>90</c:v>
                </c:pt>
                <c:pt idx="16">
                  <c:v>95</c:v>
                </c:pt>
                <c:pt idx="17">
                  <c:v>100</c:v>
                </c:pt>
                <c:pt idx="18">
                  <c:v>105</c:v>
                </c:pt>
                <c:pt idx="19">
                  <c:v>110</c:v>
                </c:pt>
                <c:pt idx="20">
                  <c:v>115</c:v>
                </c:pt>
                <c:pt idx="21">
                  <c:v>120</c:v>
                </c:pt>
                <c:pt idx="22">
                  <c:v>125</c:v>
                </c:pt>
                <c:pt idx="23">
                  <c:v>130</c:v>
                </c:pt>
                <c:pt idx="24">
                  <c:v>135</c:v>
                </c:pt>
                <c:pt idx="25">
                  <c:v>140</c:v>
                </c:pt>
                <c:pt idx="26">
                  <c:v>145</c:v>
                </c:pt>
                <c:pt idx="27">
                  <c:v>150</c:v>
                </c:pt>
                <c:pt idx="28">
                  <c:v>155</c:v>
                </c:pt>
                <c:pt idx="29">
                  <c:v>160</c:v>
                </c:pt>
                <c:pt idx="30">
                  <c:v>165</c:v>
                </c:pt>
                <c:pt idx="31">
                  <c:v>170</c:v>
                </c:pt>
                <c:pt idx="32">
                  <c:v>175</c:v>
                </c:pt>
                <c:pt idx="33">
                  <c:v>180</c:v>
                </c:pt>
                <c:pt idx="34">
                  <c:v>185</c:v>
                </c:pt>
                <c:pt idx="35">
                  <c:v>190</c:v>
                </c:pt>
                <c:pt idx="36">
                  <c:v>195</c:v>
                </c:pt>
                <c:pt idx="37">
                  <c:v>200</c:v>
                </c:pt>
                <c:pt idx="38">
                  <c:v>205</c:v>
                </c:pt>
                <c:pt idx="39">
                  <c:v>210</c:v>
                </c:pt>
                <c:pt idx="40">
                  <c:v>215</c:v>
                </c:pt>
                <c:pt idx="41">
                  <c:v>220</c:v>
                </c:pt>
                <c:pt idx="42">
                  <c:v>225</c:v>
                </c:pt>
                <c:pt idx="43">
                  <c:v>230</c:v>
                </c:pt>
                <c:pt idx="44">
                  <c:v>235</c:v>
                </c:pt>
                <c:pt idx="45">
                  <c:v>240</c:v>
                </c:pt>
                <c:pt idx="46">
                  <c:v>245</c:v>
                </c:pt>
                <c:pt idx="47">
                  <c:v>250</c:v>
                </c:pt>
                <c:pt idx="48">
                  <c:v>255</c:v>
                </c:pt>
                <c:pt idx="49">
                  <c:v>260</c:v>
                </c:pt>
                <c:pt idx="50">
                  <c:v>265</c:v>
                </c:pt>
                <c:pt idx="51">
                  <c:v>270</c:v>
                </c:pt>
                <c:pt idx="52">
                  <c:v>275</c:v>
                </c:pt>
                <c:pt idx="53">
                  <c:v>280</c:v>
                </c:pt>
                <c:pt idx="54">
                  <c:v>285</c:v>
                </c:pt>
                <c:pt idx="55">
                  <c:v>290</c:v>
                </c:pt>
                <c:pt idx="56">
                  <c:v>295</c:v>
                </c:pt>
                <c:pt idx="57">
                  <c:v>300</c:v>
                </c:pt>
                <c:pt idx="58">
                  <c:v>305</c:v>
                </c:pt>
                <c:pt idx="59">
                  <c:v>310</c:v>
                </c:pt>
                <c:pt idx="60">
                  <c:v>315</c:v>
                </c:pt>
                <c:pt idx="61">
                  <c:v>320</c:v>
                </c:pt>
                <c:pt idx="62">
                  <c:v>325</c:v>
                </c:pt>
                <c:pt idx="63">
                  <c:v>330</c:v>
                </c:pt>
                <c:pt idx="64">
                  <c:v>335</c:v>
                </c:pt>
                <c:pt idx="65">
                  <c:v>340</c:v>
                </c:pt>
                <c:pt idx="66">
                  <c:v>345</c:v>
                </c:pt>
                <c:pt idx="67">
                  <c:v>350</c:v>
                </c:pt>
                <c:pt idx="68">
                  <c:v>355</c:v>
                </c:pt>
                <c:pt idx="69">
                  <c:v>360</c:v>
                </c:pt>
                <c:pt idx="70">
                  <c:v>365</c:v>
                </c:pt>
                <c:pt idx="71">
                  <c:v>370</c:v>
                </c:pt>
                <c:pt idx="72">
                  <c:v>375</c:v>
                </c:pt>
                <c:pt idx="73">
                  <c:v>380</c:v>
                </c:pt>
              </c:numCache>
            </c:numRef>
          </c:cat>
          <c:val>
            <c:numRef>
              <c:f>CP!$D$323:$D$397</c:f>
              <c:numCache>
                <c:formatCode>General</c:formatCode>
                <c:ptCount val="75"/>
                <c:pt idx="0">
                  <c:v>2.4251999999999999E-2</c:v>
                </c:pt>
                <c:pt idx="1">
                  <c:v>1.7101000000000002E-2</c:v>
                </c:pt>
                <c:pt idx="2">
                  <c:v>1.8751333333333332E-2</c:v>
                </c:pt>
                <c:pt idx="3">
                  <c:v>1.6567666666666665E-2</c:v>
                </c:pt>
                <c:pt idx="4">
                  <c:v>2.5351666666666665E-2</c:v>
                </c:pt>
                <c:pt idx="5">
                  <c:v>3.2502666666666673E-2</c:v>
                </c:pt>
                <c:pt idx="6">
                  <c:v>2.9752333333333335E-2</c:v>
                </c:pt>
                <c:pt idx="7">
                  <c:v>2.810233333333333E-2</c:v>
                </c:pt>
                <c:pt idx="8">
                  <c:v>3.2536000000000002E-2</c:v>
                </c:pt>
                <c:pt idx="9">
                  <c:v>3.4152999999999996E-2</c:v>
                </c:pt>
                <c:pt idx="10">
                  <c:v>3.0852666666666667E-2</c:v>
                </c:pt>
                <c:pt idx="11">
                  <c:v>3.526933333333334E-2</c:v>
                </c:pt>
                <c:pt idx="12">
                  <c:v>3.1953000000000002E-2</c:v>
                </c:pt>
                <c:pt idx="13">
                  <c:v>5.1204666666666669E-2</c:v>
                </c:pt>
                <c:pt idx="14">
                  <c:v>4.4603999999999998E-2</c:v>
                </c:pt>
                <c:pt idx="15">
                  <c:v>6.4956E-2</c:v>
                </c:pt>
                <c:pt idx="16">
                  <c:v>4.7354333333333332E-2</c:v>
                </c:pt>
                <c:pt idx="17">
                  <c:v>5.4504999999999998E-2</c:v>
                </c:pt>
                <c:pt idx="18">
                  <c:v>6.2755666666666668E-2</c:v>
                </c:pt>
                <c:pt idx="19">
                  <c:v>8.4208000000000005E-2</c:v>
                </c:pt>
                <c:pt idx="20">
                  <c:v>5.0104333333333327E-2</c:v>
                </c:pt>
                <c:pt idx="21">
                  <c:v>6.9906333333333334E-2</c:v>
                </c:pt>
                <c:pt idx="22">
                  <c:v>9.3009000000000008E-2</c:v>
                </c:pt>
                <c:pt idx="23">
                  <c:v>8.4758E-2</c:v>
                </c:pt>
                <c:pt idx="24">
                  <c:v>0.10180966666666667</c:v>
                </c:pt>
                <c:pt idx="25">
                  <c:v>0.10237633333333333</c:v>
                </c:pt>
                <c:pt idx="26">
                  <c:v>0.12051133333333335</c:v>
                </c:pt>
                <c:pt idx="27">
                  <c:v>0.16616600000000001</c:v>
                </c:pt>
                <c:pt idx="28">
                  <c:v>0.14031366666666667</c:v>
                </c:pt>
                <c:pt idx="29">
                  <c:v>0.17001633333333332</c:v>
                </c:pt>
                <c:pt idx="30">
                  <c:v>0.19091866666666668</c:v>
                </c:pt>
                <c:pt idx="31">
                  <c:v>0.21787133333333333</c:v>
                </c:pt>
                <c:pt idx="32">
                  <c:v>0.27342700000000003</c:v>
                </c:pt>
                <c:pt idx="33">
                  <c:v>0.26242566666666667</c:v>
                </c:pt>
                <c:pt idx="34">
                  <c:v>0.29487899999999995</c:v>
                </c:pt>
                <c:pt idx="35">
                  <c:v>0.27727733333333332</c:v>
                </c:pt>
                <c:pt idx="36">
                  <c:v>0.27947766666666668</c:v>
                </c:pt>
                <c:pt idx="37">
                  <c:v>0.34218366666666666</c:v>
                </c:pt>
                <c:pt idx="38">
                  <c:v>0.31358066666666667</c:v>
                </c:pt>
                <c:pt idx="39">
                  <c:v>0.35373500000000008</c:v>
                </c:pt>
                <c:pt idx="40">
                  <c:v>0.44669433333333336</c:v>
                </c:pt>
                <c:pt idx="41">
                  <c:v>0.43899333333333335</c:v>
                </c:pt>
                <c:pt idx="42">
                  <c:v>0.40928999999999999</c:v>
                </c:pt>
                <c:pt idx="43">
                  <c:v>0.43844333333333335</c:v>
                </c:pt>
                <c:pt idx="44">
                  <c:v>0.59960933333333333</c:v>
                </c:pt>
                <c:pt idx="45">
                  <c:v>0.47804733333333332</c:v>
                </c:pt>
                <c:pt idx="46">
                  <c:v>0.53030233333333332</c:v>
                </c:pt>
                <c:pt idx="47">
                  <c:v>0.55615499999999995</c:v>
                </c:pt>
                <c:pt idx="48">
                  <c:v>0.54625433333333329</c:v>
                </c:pt>
                <c:pt idx="49">
                  <c:v>0.64141366666666666</c:v>
                </c:pt>
                <c:pt idx="50">
                  <c:v>0.7002693333333333</c:v>
                </c:pt>
                <c:pt idx="51">
                  <c:v>0.61226066666666668</c:v>
                </c:pt>
                <c:pt idx="52">
                  <c:v>0.72942233333333328</c:v>
                </c:pt>
                <c:pt idx="53">
                  <c:v>0.71127066666666661</c:v>
                </c:pt>
                <c:pt idx="54">
                  <c:v>0.71292100000000003</c:v>
                </c:pt>
                <c:pt idx="55">
                  <c:v>0.74812433333333328</c:v>
                </c:pt>
                <c:pt idx="56">
                  <c:v>0.74042366666666659</c:v>
                </c:pt>
                <c:pt idx="57">
                  <c:v>0.78387799999999996</c:v>
                </c:pt>
                <c:pt idx="58">
                  <c:v>0.76022533333333342</c:v>
                </c:pt>
                <c:pt idx="59">
                  <c:v>0.92139166666666661</c:v>
                </c:pt>
                <c:pt idx="60">
                  <c:v>0.82513199999999998</c:v>
                </c:pt>
                <c:pt idx="61">
                  <c:v>0.83173299999999994</c:v>
                </c:pt>
                <c:pt idx="62">
                  <c:v>0.83723333333333327</c:v>
                </c:pt>
                <c:pt idx="63">
                  <c:v>0.85978533333333329</c:v>
                </c:pt>
                <c:pt idx="64">
                  <c:v>0.8707866666666666</c:v>
                </c:pt>
                <c:pt idx="65">
                  <c:v>0.87518700000000005</c:v>
                </c:pt>
                <c:pt idx="66">
                  <c:v>0.8812376666666667</c:v>
                </c:pt>
                <c:pt idx="67">
                  <c:v>0.87683700000000009</c:v>
                </c:pt>
                <c:pt idx="68">
                  <c:v>0.86748633333333325</c:v>
                </c:pt>
                <c:pt idx="69">
                  <c:v>0.89113866666666663</c:v>
                </c:pt>
                <c:pt idx="70">
                  <c:v>0.883988</c:v>
                </c:pt>
                <c:pt idx="71">
                  <c:v>0.88783833333333328</c:v>
                </c:pt>
                <c:pt idx="72">
                  <c:v>0.89003833333333338</c:v>
                </c:pt>
                <c:pt idx="73">
                  <c:v>0.88728799999999997</c:v>
                </c:pt>
                <c:pt idx="74">
                  <c:v>0.89498866666666654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AE-4942-BD51-8D905033BF3D}"/>
            </c:ext>
          </c:extLst>
        </c:ser>
        <c:ser>
          <c:idx val="3"/>
          <c:order val="3"/>
          <c:tx>
            <c:strRef>
              <c:f>CP!$E$322</c:f>
              <c:strCache>
                <c:ptCount val="1"/>
                <c:pt idx="0">
                  <c:v>OCSVM n=1000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CP!$A$323:$A$397</c:f>
              <c:numCache>
                <c:formatCode>General</c:formatCode>
                <c:ptCount val="7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  <c:pt idx="8">
                  <c:v>55</c:v>
                </c:pt>
                <c:pt idx="9">
                  <c:v>60</c:v>
                </c:pt>
                <c:pt idx="10">
                  <c:v>65</c:v>
                </c:pt>
                <c:pt idx="11">
                  <c:v>70</c:v>
                </c:pt>
                <c:pt idx="12">
                  <c:v>75</c:v>
                </c:pt>
                <c:pt idx="13">
                  <c:v>80</c:v>
                </c:pt>
                <c:pt idx="14">
                  <c:v>85</c:v>
                </c:pt>
                <c:pt idx="15">
                  <c:v>90</c:v>
                </c:pt>
                <c:pt idx="16">
                  <c:v>95</c:v>
                </c:pt>
                <c:pt idx="17">
                  <c:v>100</c:v>
                </c:pt>
                <c:pt idx="18">
                  <c:v>105</c:v>
                </c:pt>
                <c:pt idx="19">
                  <c:v>110</c:v>
                </c:pt>
                <c:pt idx="20">
                  <c:v>115</c:v>
                </c:pt>
                <c:pt idx="21">
                  <c:v>120</c:v>
                </c:pt>
                <c:pt idx="22">
                  <c:v>125</c:v>
                </c:pt>
                <c:pt idx="23">
                  <c:v>130</c:v>
                </c:pt>
                <c:pt idx="24">
                  <c:v>135</c:v>
                </c:pt>
                <c:pt idx="25">
                  <c:v>140</c:v>
                </c:pt>
                <c:pt idx="26">
                  <c:v>145</c:v>
                </c:pt>
                <c:pt idx="27">
                  <c:v>150</c:v>
                </c:pt>
                <c:pt idx="28">
                  <c:v>155</c:v>
                </c:pt>
                <c:pt idx="29">
                  <c:v>160</c:v>
                </c:pt>
                <c:pt idx="30">
                  <c:v>165</c:v>
                </c:pt>
                <c:pt idx="31">
                  <c:v>170</c:v>
                </c:pt>
                <c:pt idx="32">
                  <c:v>175</c:v>
                </c:pt>
                <c:pt idx="33">
                  <c:v>180</c:v>
                </c:pt>
                <c:pt idx="34">
                  <c:v>185</c:v>
                </c:pt>
                <c:pt idx="35">
                  <c:v>190</c:v>
                </c:pt>
                <c:pt idx="36">
                  <c:v>195</c:v>
                </c:pt>
                <c:pt idx="37">
                  <c:v>200</c:v>
                </c:pt>
                <c:pt idx="38">
                  <c:v>205</c:v>
                </c:pt>
                <c:pt idx="39">
                  <c:v>210</c:v>
                </c:pt>
                <c:pt idx="40">
                  <c:v>215</c:v>
                </c:pt>
                <c:pt idx="41">
                  <c:v>220</c:v>
                </c:pt>
                <c:pt idx="42">
                  <c:v>225</c:v>
                </c:pt>
                <c:pt idx="43">
                  <c:v>230</c:v>
                </c:pt>
                <c:pt idx="44">
                  <c:v>235</c:v>
                </c:pt>
                <c:pt idx="45">
                  <c:v>240</c:v>
                </c:pt>
                <c:pt idx="46">
                  <c:v>245</c:v>
                </c:pt>
                <c:pt idx="47">
                  <c:v>250</c:v>
                </c:pt>
                <c:pt idx="48">
                  <c:v>255</c:v>
                </c:pt>
                <c:pt idx="49">
                  <c:v>260</c:v>
                </c:pt>
                <c:pt idx="50">
                  <c:v>265</c:v>
                </c:pt>
                <c:pt idx="51">
                  <c:v>270</c:v>
                </c:pt>
                <c:pt idx="52">
                  <c:v>275</c:v>
                </c:pt>
                <c:pt idx="53">
                  <c:v>280</c:v>
                </c:pt>
                <c:pt idx="54">
                  <c:v>285</c:v>
                </c:pt>
                <c:pt idx="55">
                  <c:v>290</c:v>
                </c:pt>
                <c:pt idx="56">
                  <c:v>295</c:v>
                </c:pt>
                <c:pt idx="57">
                  <c:v>300</c:v>
                </c:pt>
                <c:pt idx="58">
                  <c:v>305</c:v>
                </c:pt>
                <c:pt idx="59">
                  <c:v>310</c:v>
                </c:pt>
                <c:pt idx="60">
                  <c:v>315</c:v>
                </c:pt>
                <c:pt idx="61">
                  <c:v>320</c:v>
                </c:pt>
                <c:pt idx="62">
                  <c:v>325</c:v>
                </c:pt>
                <c:pt idx="63">
                  <c:v>330</c:v>
                </c:pt>
                <c:pt idx="64">
                  <c:v>335</c:v>
                </c:pt>
                <c:pt idx="65">
                  <c:v>340</c:v>
                </c:pt>
                <c:pt idx="66">
                  <c:v>345</c:v>
                </c:pt>
                <c:pt idx="67">
                  <c:v>350</c:v>
                </c:pt>
                <c:pt idx="68">
                  <c:v>355</c:v>
                </c:pt>
                <c:pt idx="69">
                  <c:v>360</c:v>
                </c:pt>
                <c:pt idx="70">
                  <c:v>365</c:v>
                </c:pt>
                <c:pt idx="71">
                  <c:v>370</c:v>
                </c:pt>
                <c:pt idx="72">
                  <c:v>375</c:v>
                </c:pt>
                <c:pt idx="73">
                  <c:v>380</c:v>
                </c:pt>
              </c:numCache>
            </c:numRef>
          </c:cat>
          <c:val>
            <c:numRef>
              <c:f>CP!$E$323:$E$397</c:f>
              <c:numCache>
                <c:formatCode>General</c:formatCode>
                <c:ptCount val="75"/>
                <c:pt idx="0">
                  <c:v>3.3333333333333333E-2</c:v>
                </c:pt>
                <c:pt idx="1">
                  <c:v>1.8333333333333337E-2</c:v>
                </c:pt>
                <c:pt idx="2">
                  <c:v>4.3333333333333335E-2</c:v>
                </c:pt>
                <c:pt idx="3">
                  <c:v>0.03</c:v>
                </c:pt>
                <c:pt idx="4">
                  <c:v>4.3333333333333335E-2</c:v>
                </c:pt>
                <c:pt idx="5">
                  <c:v>4.8333333333333339E-2</c:v>
                </c:pt>
                <c:pt idx="6">
                  <c:v>5.3333333333333337E-2</c:v>
                </c:pt>
                <c:pt idx="7">
                  <c:v>5.6666666666666664E-2</c:v>
                </c:pt>
                <c:pt idx="8">
                  <c:v>3.5000000000000003E-2</c:v>
                </c:pt>
                <c:pt idx="9">
                  <c:v>0.03</c:v>
                </c:pt>
                <c:pt idx="10">
                  <c:v>3.6666666666666674E-2</c:v>
                </c:pt>
                <c:pt idx="11">
                  <c:v>2.8333333333333335E-2</c:v>
                </c:pt>
                <c:pt idx="12">
                  <c:v>3.6666666666666667E-2</c:v>
                </c:pt>
                <c:pt idx="13">
                  <c:v>3.1666666666666669E-2</c:v>
                </c:pt>
                <c:pt idx="14">
                  <c:v>3.6666666666666667E-2</c:v>
                </c:pt>
                <c:pt idx="15">
                  <c:v>0.04</c:v>
                </c:pt>
                <c:pt idx="16">
                  <c:v>3.8333333333333337E-2</c:v>
                </c:pt>
                <c:pt idx="17">
                  <c:v>5.6666666666666671E-2</c:v>
                </c:pt>
                <c:pt idx="18">
                  <c:v>8.3333333333333329E-2</c:v>
                </c:pt>
                <c:pt idx="19">
                  <c:v>8.8333333333333333E-2</c:v>
                </c:pt>
                <c:pt idx="20">
                  <c:v>7.3333333333333334E-2</c:v>
                </c:pt>
                <c:pt idx="21">
                  <c:v>9.799999999999999E-2</c:v>
                </c:pt>
                <c:pt idx="22">
                  <c:v>9.9333333333333329E-2</c:v>
                </c:pt>
                <c:pt idx="23">
                  <c:v>0.124</c:v>
                </c:pt>
                <c:pt idx="24">
                  <c:v>0.11766666666666666</c:v>
                </c:pt>
                <c:pt idx="25">
                  <c:v>0.12733333333333333</c:v>
                </c:pt>
                <c:pt idx="26">
                  <c:v>0.14899999999999999</c:v>
                </c:pt>
                <c:pt idx="27">
                  <c:v>0.16233333333333333</c:v>
                </c:pt>
                <c:pt idx="28">
                  <c:v>0.15233333333333332</c:v>
                </c:pt>
                <c:pt idx="29">
                  <c:v>0.17066666666666666</c:v>
                </c:pt>
                <c:pt idx="30">
                  <c:v>0.17400000000000002</c:v>
                </c:pt>
                <c:pt idx="31">
                  <c:v>0.18400000000000002</c:v>
                </c:pt>
                <c:pt idx="32">
                  <c:v>0.21066666666666667</c:v>
                </c:pt>
                <c:pt idx="33">
                  <c:v>0.20566666666666666</c:v>
                </c:pt>
                <c:pt idx="34">
                  <c:v>0.224</c:v>
                </c:pt>
                <c:pt idx="35">
                  <c:v>0.22900000000000001</c:v>
                </c:pt>
                <c:pt idx="36">
                  <c:v>0.22399999999999998</c:v>
                </c:pt>
                <c:pt idx="37">
                  <c:v>0.23899999999999999</c:v>
                </c:pt>
                <c:pt idx="38">
                  <c:v>0.24233333333333332</c:v>
                </c:pt>
                <c:pt idx="39">
                  <c:v>0.26733333333333337</c:v>
                </c:pt>
                <c:pt idx="40">
                  <c:v>0.26400000000000001</c:v>
                </c:pt>
                <c:pt idx="41">
                  <c:v>0.26900000000000002</c:v>
                </c:pt>
                <c:pt idx="42">
                  <c:v>0.28233333333333333</c:v>
                </c:pt>
                <c:pt idx="43">
                  <c:v>0.30033333333333334</c:v>
                </c:pt>
                <c:pt idx="44">
                  <c:v>0.313</c:v>
                </c:pt>
                <c:pt idx="45">
                  <c:v>0.313</c:v>
                </c:pt>
                <c:pt idx="46">
                  <c:v>0.31633333333333336</c:v>
                </c:pt>
                <c:pt idx="47">
                  <c:v>0.34633333333333338</c:v>
                </c:pt>
                <c:pt idx="48">
                  <c:v>0.34966666666666663</c:v>
                </c:pt>
                <c:pt idx="49">
                  <c:v>0.39799999999999996</c:v>
                </c:pt>
                <c:pt idx="50">
                  <c:v>0.34966666666666663</c:v>
                </c:pt>
                <c:pt idx="51">
                  <c:v>0.40300000000000002</c:v>
                </c:pt>
                <c:pt idx="52">
                  <c:v>0.39966666666666661</c:v>
                </c:pt>
                <c:pt idx="53">
                  <c:v>0.41633333333333328</c:v>
                </c:pt>
                <c:pt idx="54">
                  <c:v>0.438</c:v>
                </c:pt>
                <c:pt idx="55">
                  <c:v>0.46466666666666673</c:v>
                </c:pt>
                <c:pt idx="56">
                  <c:v>0.48299999999999993</c:v>
                </c:pt>
                <c:pt idx="57">
                  <c:v>0.48299999999999993</c:v>
                </c:pt>
                <c:pt idx="58">
                  <c:v>0.504</c:v>
                </c:pt>
                <c:pt idx="59">
                  <c:v>0.52866666666666673</c:v>
                </c:pt>
                <c:pt idx="60">
                  <c:v>0.50700000000000001</c:v>
                </c:pt>
                <c:pt idx="61">
                  <c:v>0.53033333333333332</c:v>
                </c:pt>
                <c:pt idx="62">
                  <c:v>0.53533333333333333</c:v>
                </c:pt>
                <c:pt idx="63">
                  <c:v>0.53533333333333333</c:v>
                </c:pt>
                <c:pt idx="64">
                  <c:v>0.57033333333333336</c:v>
                </c:pt>
                <c:pt idx="65">
                  <c:v>0.57366666666666666</c:v>
                </c:pt>
                <c:pt idx="66">
                  <c:v>0.57533333333333336</c:v>
                </c:pt>
                <c:pt idx="67">
                  <c:v>0.58533333333333326</c:v>
                </c:pt>
                <c:pt idx="68">
                  <c:v>0.59866666666666668</c:v>
                </c:pt>
                <c:pt idx="69">
                  <c:v>0.62699999999999989</c:v>
                </c:pt>
                <c:pt idx="70">
                  <c:v>0.6253333333333333</c:v>
                </c:pt>
                <c:pt idx="71">
                  <c:v>0.64033333333333331</c:v>
                </c:pt>
                <c:pt idx="72">
                  <c:v>0.64200000000000002</c:v>
                </c:pt>
                <c:pt idx="73">
                  <c:v>0.65700000000000003</c:v>
                </c:pt>
                <c:pt idx="74">
                  <c:v>0.65700000000000003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AE-4942-BD51-8D905033BF3D}"/>
            </c:ext>
          </c:extLst>
        </c:ser>
        <c:ser>
          <c:idx val="4"/>
          <c:order val="4"/>
          <c:tx>
            <c:strRef>
              <c:f>CP!$F$322</c:f>
              <c:strCache>
                <c:ptCount val="1"/>
                <c:pt idx="0">
                  <c:v>AE n=1000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CP!$A$323:$A$397</c:f>
              <c:numCache>
                <c:formatCode>General</c:formatCode>
                <c:ptCount val="7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  <c:pt idx="8">
                  <c:v>55</c:v>
                </c:pt>
                <c:pt idx="9">
                  <c:v>60</c:v>
                </c:pt>
                <c:pt idx="10">
                  <c:v>65</c:v>
                </c:pt>
                <c:pt idx="11">
                  <c:v>70</c:v>
                </c:pt>
                <c:pt idx="12">
                  <c:v>75</c:v>
                </c:pt>
                <c:pt idx="13">
                  <c:v>80</c:v>
                </c:pt>
                <c:pt idx="14">
                  <c:v>85</c:v>
                </c:pt>
                <c:pt idx="15">
                  <c:v>90</c:v>
                </c:pt>
                <c:pt idx="16">
                  <c:v>95</c:v>
                </c:pt>
                <c:pt idx="17">
                  <c:v>100</c:v>
                </c:pt>
                <c:pt idx="18">
                  <c:v>105</c:v>
                </c:pt>
                <c:pt idx="19">
                  <c:v>110</c:v>
                </c:pt>
                <c:pt idx="20">
                  <c:v>115</c:v>
                </c:pt>
                <c:pt idx="21">
                  <c:v>120</c:v>
                </c:pt>
                <c:pt idx="22">
                  <c:v>125</c:v>
                </c:pt>
                <c:pt idx="23">
                  <c:v>130</c:v>
                </c:pt>
                <c:pt idx="24">
                  <c:v>135</c:v>
                </c:pt>
                <c:pt idx="25">
                  <c:v>140</c:v>
                </c:pt>
                <c:pt idx="26">
                  <c:v>145</c:v>
                </c:pt>
                <c:pt idx="27">
                  <c:v>150</c:v>
                </c:pt>
                <c:pt idx="28">
                  <c:v>155</c:v>
                </c:pt>
                <c:pt idx="29">
                  <c:v>160</c:v>
                </c:pt>
                <c:pt idx="30">
                  <c:v>165</c:v>
                </c:pt>
                <c:pt idx="31">
                  <c:v>170</c:v>
                </c:pt>
                <c:pt idx="32">
                  <c:v>175</c:v>
                </c:pt>
                <c:pt idx="33">
                  <c:v>180</c:v>
                </c:pt>
                <c:pt idx="34">
                  <c:v>185</c:v>
                </c:pt>
                <c:pt idx="35">
                  <c:v>190</c:v>
                </c:pt>
                <c:pt idx="36">
                  <c:v>195</c:v>
                </c:pt>
                <c:pt idx="37">
                  <c:v>200</c:v>
                </c:pt>
                <c:pt idx="38">
                  <c:v>205</c:v>
                </c:pt>
                <c:pt idx="39">
                  <c:v>210</c:v>
                </c:pt>
                <c:pt idx="40">
                  <c:v>215</c:v>
                </c:pt>
                <c:pt idx="41">
                  <c:v>220</c:v>
                </c:pt>
                <c:pt idx="42">
                  <c:v>225</c:v>
                </c:pt>
                <c:pt idx="43">
                  <c:v>230</c:v>
                </c:pt>
                <c:pt idx="44">
                  <c:v>235</c:v>
                </c:pt>
                <c:pt idx="45">
                  <c:v>240</c:v>
                </c:pt>
                <c:pt idx="46">
                  <c:v>245</c:v>
                </c:pt>
                <c:pt idx="47">
                  <c:v>250</c:v>
                </c:pt>
                <c:pt idx="48">
                  <c:v>255</c:v>
                </c:pt>
                <c:pt idx="49">
                  <c:v>260</c:v>
                </c:pt>
                <c:pt idx="50">
                  <c:v>265</c:v>
                </c:pt>
                <c:pt idx="51">
                  <c:v>270</c:v>
                </c:pt>
                <c:pt idx="52">
                  <c:v>275</c:v>
                </c:pt>
                <c:pt idx="53">
                  <c:v>280</c:v>
                </c:pt>
                <c:pt idx="54">
                  <c:v>285</c:v>
                </c:pt>
                <c:pt idx="55">
                  <c:v>290</c:v>
                </c:pt>
                <c:pt idx="56">
                  <c:v>295</c:v>
                </c:pt>
                <c:pt idx="57">
                  <c:v>300</c:v>
                </c:pt>
                <c:pt idx="58">
                  <c:v>305</c:v>
                </c:pt>
                <c:pt idx="59">
                  <c:v>310</c:v>
                </c:pt>
                <c:pt idx="60">
                  <c:v>315</c:v>
                </c:pt>
                <c:pt idx="61">
                  <c:v>320</c:v>
                </c:pt>
                <c:pt idx="62">
                  <c:v>325</c:v>
                </c:pt>
                <c:pt idx="63">
                  <c:v>330</c:v>
                </c:pt>
                <c:pt idx="64">
                  <c:v>335</c:v>
                </c:pt>
                <c:pt idx="65">
                  <c:v>340</c:v>
                </c:pt>
                <c:pt idx="66">
                  <c:v>345</c:v>
                </c:pt>
                <c:pt idx="67">
                  <c:v>350</c:v>
                </c:pt>
                <c:pt idx="68">
                  <c:v>355</c:v>
                </c:pt>
                <c:pt idx="69">
                  <c:v>360</c:v>
                </c:pt>
                <c:pt idx="70">
                  <c:v>365</c:v>
                </c:pt>
                <c:pt idx="71">
                  <c:v>370</c:v>
                </c:pt>
                <c:pt idx="72">
                  <c:v>375</c:v>
                </c:pt>
                <c:pt idx="73">
                  <c:v>380</c:v>
                </c:pt>
              </c:numCache>
            </c:numRef>
          </c:cat>
          <c:val>
            <c:numRef>
              <c:f>CP!$F$323:$F$397</c:f>
              <c:numCache>
                <c:formatCode>General</c:formatCode>
                <c:ptCount val="75"/>
                <c:pt idx="0">
                  <c:v>0.13349917081260301</c:v>
                </c:pt>
                <c:pt idx="1">
                  <c:v>0.16860143725815332</c:v>
                </c:pt>
                <c:pt idx="2">
                  <c:v>0.23493642896627934</c:v>
                </c:pt>
                <c:pt idx="3">
                  <c:v>0.29850746268656669</c:v>
                </c:pt>
                <c:pt idx="4">
                  <c:v>0.29270315091210564</c:v>
                </c:pt>
                <c:pt idx="5">
                  <c:v>0.24018794914317232</c:v>
                </c:pt>
                <c:pt idx="6">
                  <c:v>0.278330569375345</c:v>
                </c:pt>
                <c:pt idx="7">
                  <c:v>0.22415699281370868</c:v>
                </c:pt>
                <c:pt idx="8">
                  <c:v>0.20923161967938067</c:v>
                </c:pt>
                <c:pt idx="9">
                  <c:v>0.15948037589828568</c:v>
                </c:pt>
                <c:pt idx="10">
                  <c:v>0.22802653399668268</c:v>
                </c:pt>
                <c:pt idx="11">
                  <c:v>0.22636815920397935</c:v>
                </c:pt>
                <c:pt idx="12">
                  <c:v>0.19928137092316167</c:v>
                </c:pt>
                <c:pt idx="13">
                  <c:v>0.18325041459369731</c:v>
                </c:pt>
                <c:pt idx="14">
                  <c:v>0.19264787175234899</c:v>
                </c:pt>
                <c:pt idx="15">
                  <c:v>0.16832504145936933</c:v>
                </c:pt>
                <c:pt idx="16">
                  <c:v>0.19375345494748433</c:v>
                </c:pt>
                <c:pt idx="17">
                  <c:v>0.20425649530127066</c:v>
                </c:pt>
                <c:pt idx="18">
                  <c:v>0.18656716417910402</c:v>
                </c:pt>
                <c:pt idx="19">
                  <c:v>0.20011055831951333</c:v>
                </c:pt>
                <c:pt idx="20">
                  <c:v>0.20646766169154165</c:v>
                </c:pt>
                <c:pt idx="21">
                  <c:v>0.20812603648424499</c:v>
                </c:pt>
                <c:pt idx="22">
                  <c:v>0.18794914317302336</c:v>
                </c:pt>
                <c:pt idx="23">
                  <c:v>0.19375345494748433</c:v>
                </c:pt>
                <c:pt idx="24">
                  <c:v>0.22498618021006034</c:v>
                </c:pt>
                <c:pt idx="25">
                  <c:v>0.21171918186843533</c:v>
                </c:pt>
                <c:pt idx="26">
                  <c:v>0.22498618021006001</c:v>
                </c:pt>
                <c:pt idx="27">
                  <c:v>0.22470978441127634</c:v>
                </c:pt>
                <c:pt idx="28">
                  <c:v>0.21890547263681534</c:v>
                </c:pt>
                <c:pt idx="29">
                  <c:v>0.25870646766169098</c:v>
                </c:pt>
                <c:pt idx="30">
                  <c:v>0.23383084577114369</c:v>
                </c:pt>
                <c:pt idx="31">
                  <c:v>0.257048092868988</c:v>
                </c:pt>
                <c:pt idx="32">
                  <c:v>0.2808181315644</c:v>
                </c:pt>
                <c:pt idx="33">
                  <c:v>0.25317855168601366</c:v>
                </c:pt>
                <c:pt idx="34">
                  <c:v>0.28192371475953498</c:v>
                </c:pt>
                <c:pt idx="35">
                  <c:v>0.29187396351575434</c:v>
                </c:pt>
                <c:pt idx="36">
                  <c:v>0.26423438363736801</c:v>
                </c:pt>
                <c:pt idx="37">
                  <c:v>0.27611940298507398</c:v>
                </c:pt>
                <c:pt idx="38">
                  <c:v>0.3043117744610277</c:v>
                </c:pt>
                <c:pt idx="39">
                  <c:v>0.32863460475400735</c:v>
                </c:pt>
                <c:pt idx="40">
                  <c:v>0.30762852404643432</c:v>
                </c:pt>
                <c:pt idx="41">
                  <c:v>0.32587064676616867</c:v>
                </c:pt>
                <c:pt idx="42">
                  <c:v>0.32808181315643964</c:v>
                </c:pt>
                <c:pt idx="43">
                  <c:v>0.36954118297401833</c:v>
                </c:pt>
                <c:pt idx="44">
                  <c:v>0.36318407960198967</c:v>
                </c:pt>
                <c:pt idx="45">
                  <c:v>0.36981757877280236</c:v>
                </c:pt>
                <c:pt idx="46">
                  <c:v>0.34881149806522904</c:v>
                </c:pt>
                <c:pt idx="47">
                  <c:v>0.38557213930348205</c:v>
                </c:pt>
                <c:pt idx="48">
                  <c:v>0.39773355444997199</c:v>
                </c:pt>
                <c:pt idx="49">
                  <c:v>0.43421779988944137</c:v>
                </c:pt>
                <c:pt idx="50">
                  <c:v>0.39994472084024296</c:v>
                </c:pt>
                <c:pt idx="51">
                  <c:v>0.44195688225538898</c:v>
                </c:pt>
                <c:pt idx="52">
                  <c:v>0.45384190160309529</c:v>
                </c:pt>
                <c:pt idx="53">
                  <c:v>0.45052515201768867</c:v>
                </c:pt>
                <c:pt idx="54">
                  <c:v>0.46710889994472032</c:v>
                </c:pt>
                <c:pt idx="55">
                  <c:v>0.47816473189607467</c:v>
                </c:pt>
                <c:pt idx="56">
                  <c:v>0.48756218905472598</c:v>
                </c:pt>
                <c:pt idx="57">
                  <c:v>0.51077943615257004</c:v>
                </c:pt>
                <c:pt idx="58">
                  <c:v>0.52183526810392433</c:v>
                </c:pt>
                <c:pt idx="59">
                  <c:v>0.53344389165284634</c:v>
                </c:pt>
                <c:pt idx="60">
                  <c:v>0.53123272526257559</c:v>
                </c:pt>
                <c:pt idx="61">
                  <c:v>0.54228855721392966</c:v>
                </c:pt>
                <c:pt idx="62">
                  <c:v>0.54947484798231006</c:v>
                </c:pt>
                <c:pt idx="63">
                  <c:v>0.55389718076285177</c:v>
                </c:pt>
                <c:pt idx="64">
                  <c:v>0.57186290768380266</c:v>
                </c:pt>
                <c:pt idx="65">
                  <c:v>0.58043117744610229</c:v>
                </c:pt>
                <c:pt idx="66">
                  <c:v>0.59093421779988864</c:v>
                </c:pt>
                <c:pt idx="67">
                  <c:v>0.60475400773908172</c:v>
                </c:pt>
                <c:pt idx="68">
                  <c:v>0.60972913211719149</c:v>
                </c:pt>
                <c:pt idx="69">
                  <c:v>0.62410171365395195</c:v>
                </c:pt>
                <c:pt idx="70">
                  <c:v>0.62603648424543901</c:v>
                </c:pt>
                <c:pt idx="71">
                  <c:v>0.63902708678828024</c:v>
                </c:pt>
                <c:pt idx="72">
                  <c:v>0.64455500276395739</c:v>
                </c:pt>
                <c:pt idx="73">
                  <c:v>0.64234383637368675</c:v>
                </c:pt>
                <c:pt idx="74">
                  <c:v>0.65920398009950232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AE-4942-BD51-8D905033BF3D}"/>
            </c:ext>
          </c:extLst>
        </c:ser>
        <c:ser>
          <c:idx val="5"/>
          <c:order val="5"/>
          <c:tx>
            <c:strRef>
              <c:f>CP!$G$322</c:f>
              <c:strCache>
                <c:ptCount val="1"/>
                <c:pt idx="0">
                  <c:v>IF n=1000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CP!$A$323:$A$397</c:f>
              <c:numCache>
                <c:formatCode>General</c:formatCode>
                <c:ptCount val="7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  <c:pt idx="8">
                  <c:v>55</c:v>
                </c:pt>
                <c:pt idx="9">
                  <c:v>60</c:v>
                </c:pt>
                <c:pt idx="10">
                  <c:v>65</c:v>
                </c:pt>
                <c:pt idx="11">
                  <c:v>70</c:v>
                </c:pt>
                <c:pt idx="12">
                  <c:v>75</c:v>
                </c:pt>
                <c:pt idx="13">
                  <c:v>80</c:v>
                </c:pt>
                <c:pt idx="14">
                  <c:v>85</c:v>
                </c:pt>
                <c:pt idx="15">
                  <c:v>90</c:v>
                </c:pt>
                <c:pt idx="16">
                  <c:v>95</c:v>
                </c:pt>
                <c:pt idx="17">
                  <c:v>100</c:v>
                </c:pt>
                <c:pt idx="18">
                  <c:v>105</c:v>
                </c:pt>
                <c:pt idx="19">
                  <c:v>110</c:v>
                </c:pt>
                <c:pt idx="20">
                  <c:v>115</c:v>
                </c:pt>
                <c:pt idx="21">
                  <c:v>120</c:v>
                </c:pt>
                <c:pt idx="22">
                  <c:v>125</c:v>
                </c:pt>
                <c:pt idx="23">
                  <c:v>130</c:v>
                </c:pt>
                <c:pt idx="24">
                  <c:v>135</c:v>
                </c:pt>
                <c:pt idx="25">
                  <c:v>140</c:v>
                </c:pt>
                <c:pt idx="26">
                  <c:v>145</c:v>
                </c:pt>
                <c:pt idx="27">
                  <c:v>150</c:v>
                </c:pt>
                <c:pt idx="28">
                  <c:v>155</c:v>
                </c:pt>
                <c:pt idx="29">
                  <c:v>160</c:v>
                </c:pt>
                <c:pt idx="30">
                  <c:v>165</c:v>
                </c:pt>
                <c:pt idx="31">
                  <c:v>170</c:v>
                </c:pt>
                <c:pt idx="32">
                  <c:v>175</c:v>
                </c:pt>
                <c:pt idx="33">
                  <c:v>180</c:v>
                </c:pt>
                <c:pt idx="34">
                  <c:v>185</c:v>
                </c:pt>
                <c:pt idx="35">
                  <c:v>190</c:v>
                </c:pt>
                <c:pt idx="36">
                  <c:v>195</c:v>
                </c:pt>
                <c:pt idx="37">
                  <c:v>200</c:v>
                </c:pt>
                <c:pt idx="38">
                  <c:v>205</c:v>
                </c:pt>
                <c:pt idx="39">
                  <c:v>210</c:v>
                </c:pt>
                <c:pt idx="40">
                  <c:v>215</c:v>
                </c:pt>
                <c:pt idx="41">
                  <c:v>220</c:v>
                </c:pt>
                <c:pt idx="42">
                  <c:v>225</c:v>
                </c:pt>
                <c:pt idx="43">
                  <c:v>230</c:v>
                </c:pt>
                <c:pt idx="44">
                  <c:v>235</c:v>
                </c:pt>
                <c:pt idx="45">
                  <c:v>240</c:v>
                </c:pt>
                <c:pt idx="46">
                  <c:v>245</c:v>
                </c:pt>
                <c:pt idx="47">
                  <c:v>250</c:v>
                </c:pt>
                <c:pt idx="48">
                  <c:v>255</c:v>
                </c:pt>
                <c:pt idx="49">
                  <c:v>260</c:v>
                </c:pt>
                <c:pt idx="50">
                  <c:v>265</c:v>
                </c:pt>
                <c:pt idx="51">
                  <c:v>270</c:v>
                </c:pt>
                <c:pt idx="52">
                  <c:v>275</c:v>
                </c:pt>
                <c:pt idx="53">
                  <c:v>280</c:v>
                </c:pt>
                <c:pt idx="54">
                  <c:v>285</c:v>
                </c:pt>
                <c:pt idx="55">
                  <c:v>290</c:v>
                </c:pt>
                <c:pt idx="56">
                  <c:v>295</c:v>
                </c:pt>
                <c:pt idx="57">
                  <c:v>300</c:v>
                </c:pt>
                <c:pt idx="58">
                  <c:v>305</c:v>
                </c:pt>
                <c:pt idx="59">
                  <c:v>310</c:v>
                </c:pt>
                <c:pt idx="60">
                  <c:v>315</c:v>
                </c:pt>
                <c:pt idx="61">
                  <c:v>320</c:v>
                </c:pt>
                <c:pt idx="62">
                  <c:v>325</c:v>
                </c:pt>
                <c:pt idx="63">
                  <c:v>330</c:v>
                </c:pt>
                <c:pt idx="64">
                  <c:v>335</c:v>
                </c:pt>
                <c:pt idx="65">
                  <c:v>340</c:v>
                </c:pt>
                <c:pt idx="66">
                  <c:v>345</c:v>
                </c:pt>
                <c:pt idx="67">
                  <c:v>350</c:v>
                </c:pt>
                <c:pt idx="68">
                  <c:v>355</c:v>
                </c:pt>
                <c:pt idx="69">
                  <c:v>360</c:v>
                </c:pt>
                <c:pt idx="70">
                  <c:v>365</c:v>
                </c:pt>
                <c:pt idx="71">
                  <c:v>370</c:v>
                </c:pt>
                <c:pt idx="72">
                  <c:v>375</c:v>
                </c:pt>
                <c:pt idx="73">
                  <c:v>380</c:v>
                </c:pt>
              </c:numCache>
            </c:numRef>
          </c:cat>
          <c:val>
            <c:numRef>
              <c:f>CP!$G$323:$G$397</c:f>
              <c:numCache>
                <c:formatCode>General</c:formatCode>
                <c:ptCount val="75"/>
                <c:pt idx="0">
                  <c:v>4.0655333333333328E-2</c:v>
                </c:pt>
                <c:pt idx="1">
                  <c:v>3.2086999999999997E-2</c:v>
                </c:pt>
                <c:pt idx="2">
                  <c:v>4.7849666666666672E-2</c:v>
                </c:pt>
                <c:pt idx="3">
                  <c:v>4.3695333333333336E-2</c:v>
                </c:pt>
                <c:pt idx="4">
                  <c:v>4.9499999999999995E-2</c:v>
                </c:pt>
                <c:pt idx="5">
                  <c:v>5.1434333333333332E-2</c:v>
                </c:pt>
                <c:pt idx="6">
                  <c:v>5.9173666666666659E-2</c:v>
                </c:pt>
                <c:pt idx="7">
                  <c:v>5.5303999999999999E-2</c:v>
                </c:pt>
                <c:pt idx="8">
                  <c:v>4.2866333333333333E-2</c:v>
                </c:pt>
                <c:pt idx="9">
                  <c:v>4.618266666666667E-2</c:v>
                </c:pt>
                <c:pt idx="10">
                  <c:v>4.6735666666666655E-2</c:v>
                </c:pt>
                <c:pt idx="11">
                  <c:v>4.0931666666666665E-2</c:v>
                </c:pt>
                <c:pt idx="12">
                  <c:v>4.9223333333333341E-2</c:v>
                </c:pt>
                <c:pt idx="13">
                  <c:v>5.6685999999999993E-2</c:v>
                </c:pt>
                <c:pt idx="14">
                  <c:v>5.5027333333333324E-2</c:v>
                </c:pt>
                <c:pt idx="15">
                  <c:v>6.3043000000000002E-2</c:v>
                </c:pt>
                <c:pt idx="16">
                  <c:v>5.6685999999999993E-2</c:v>
                </c:pt>
                <c:pt idx="17">
                  <c:v>5.9450000000000003E-2</c:v>
                </c:pt>
                <c:pt idx="18">
                  <c:v>6.1661000000000001E-2</c:v>
                </c:pt>
                <c:pt idx="19">
                  <c:v>6.3872333333333337E-2</c:v>
                </c:pt>
                <c:pt idx="20">
                  <c:v>6.8570999999999993E-2</c:v>
                </c:pt>
                <c:pt idx="21">
                  <c:v>6.1108666666666665E-2</c:v>
                </c:pt>
                <c:pt idx="22">
                  <c:v>7.3554333333333333E-2</c:v>
                </c:pt>
                <c:pt idx="23">
                  <c:v>6.2498666666666668E-2</c:v>
                </c:pt>
                <c:pt idx="24">
                  <c:v>6.8571000000000007E-2</c:v>
                </c:pt>
                <c:pt idx="25">
                  <c:v>7.2440666666666667E-2</c:v>
                </c:pt>
                <c:pt idx="26">
                  <c:v>8.295166666666666E-2</c:v>
                </c:pt>
                <c:pt idx="27">
                  <c:v>7.9903333333333326E-2</c:v>
                </c:pt>
                <c:pt idx="28">
                  <c:v>8.1285666666666659E-2</c:v>
                </c:pt>
                <c:pt idx="29">
                  <c:v>8.9577333333333342E-2</c:v>
                </c:pt>
                <c:pt idx="30">
                  <c:v>8.2943666666666679E-2</c:v>
                </c:pt>
                <c:pt idx="31">
                  <c:v>0.10146233333333332</c:v>
                </c:pt>
                <c:pt idx="32">
                  <c:v>0.10643733333333334</c:v>
                </c:pt>
                <c:pt idx="33">
                  <c:v>0.10560833333333335</c:v>
                </c:pt>
                <c:pt idx="34">
                  <c:v>0.11472933333333334</c:v>
                </c:pt>
                <c:pt idx="35">
                  <c:v>0.10809566666666666</c:v>
                </c:pt>
                <c:pt idx="36">
                  <c:v>0.13158899999999998</c:v>
                </c:pt>
                <c:pt idx="37">
                  <c:v>0.11859866666666667</c:v>
                </c:pt>
                <c:pt idx="38">
                  <c:v>0.10367333333333333</c:v>
                </c:pt>
                <c:pt idx="39">
                  <c:v>0.12108633333333334</c:v>
                </c:pt>
                <c:pt idx="40">
                  <c:v>0.16448066666666666</c:v>
                </c:pt>
                <c:pt idx="41">
                  <c:v>0.14292133333333332</c:v>
                </c:pt>
                <c:pt idx="42">
                  <c:v>0.15784666666666666</c:v>
                </c:pt>
                <c:pt idx="43">
                  <c:v>0.13849933333333334</c:v>
                </c:pt>
                <c:pt idx="44">
                  <c:v>0.124403</c:v>
                </c:pt>
                <c:pt idx="45">
                  <c:v>0.16503333333333334</c:v>
                </c:pt>
                <c:pt idx="46">
                  <c:v>0.16669166666666668</c:v>
                </c:pt>
                <c:pt idx="47">
                  <c:v>0.17636533333333335</c:v>
                </c:pt>
                <c:pt idx="48">
                  <c:v>0.19073799999999999</c:v>
                </c:pt>
                <c:pt idx="49">
                  <c:v>0.19681866666666667</c:v>
                </c:pt>
                <c:pt idx="50">
                  <c:v>0.20428100000000002</c:v>
                </c:pt>
                <c:pt idx="51">
                  <c:v>0.20676866666666668</c:v>
                </c:pt>
                <c:pt idx="52">
                  <c:v>0.22528733333333331</c:v>
                </c:pt>
                <c:pt idx="53">
                  <c:v>0.18907966666666667</c:v>
                </c:pt>
                <c:pt idx="54">
                  <c:v>0.23385566666666668</c:v>
                </c:pt>
                <c:pt idx="55">
                  <c:v>0.24159466666666671</c:v>
                </c:pt>
                <c:pt idx="56">
                  <c:v>0.25099199999999999</c:v>
                </c:pt>
                <c:pt idx="57">
                  <c:v>0.26453566666666667</c:v>
                </c:pt>
                <c:pt idx="58">
                  <c:v>0.27448566666666663</c:v>
                </c:pt>
                <c:pt idx="59">
                  <c:v>0.255691</c:v>
                </c:pt>
                <c:pt idx="60">
                  <c:v>0.2742093333333333</c:v>
                </c:pt>
                <c:pt idx="61">
                  <c:v>0.31594533333333336</c:v>
                </c:pt>
                <c:pt idx="62">
                  <c:v>0.30101966666666669</c:v>
                </c:pt>
                <c:pt idx="63">
                  <c:v>0.31401033333333334</c:v>
                </c:pt>
                <c:pt idx="64">
                  <c:v>0.39637633333333328</c:v>
                </c:pt>
                <c:pt idx="65">
                  <c:v>0.34911300000000001</c:v>
                </c:pt>
                <c:pt idx="66">
                  <c:v>0.4298203333333333</c:v>
                </c:pt>
                <c:pt idx="67">
                  <c:v>0.36984233333333333</c:v>
                </c:pt>
                <c:pt idx="68">
                  <c:v>0.36652600000000007</c:v>
                </c:pt>
                <c:pt idx="69">
                  <c:v>0.42318699999999998</c:v>
                </c:pt>
                <c:pt idx="70">
                  <c:v>0.37260633333333332</c:v>
                </c:pt>
                <c:pt idx="71">
                  <c:v>0.43424266666666661</c:v>
                </c:pt>
                <c:pt idx="72">
                  <c:v>0.41019600000000001</c:v>
                </c:pt>
                <c:pt idx="73">
                  <c:v>0.40273366666666671</c:v>
                </c:pt>
                <c:pt idx="74">
                  <c:v>0.43147866666666673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AE-4942-BD51-8D905033BF3D}"/>
            </c:ext>
          </c:extLst>
        </c:ser>
        <c:ser>
          <c:idx val="6"/>
          <c:order val="6"/>
          <c:tx>
            <c:strRef>
              <c:f>CP!$H$322</c:f>
              <c:strCache>
                <c:ptCount val="1"/>
                <c:pt idx="0">
                  <c:v>OCSVM n=1500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CP!$A$323:$A$397</c:f>
              <c:numCache>
                <c:formatCode>General</c:formatCode>
                <c:ptCount val="7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  <c:pt idx="8">
                  <c:v>55</c:v>
                </c:pt>
                <c:pt idx="9">
                  <c:v>60</c:v>
                </c:pt>
                <c:pt idx="10">
                  <c:v>65</c:v>
                </c:pt>
                <c:pt idx="11">
                  <c:v>70</c:v>
                </c:pt>
                <c:pt idx="12">
                  <c:v>75</c:v>
                </c:pt>
                <c:pt idx="13">
                  <c:v>80</c:v>
                </c:pt>
                <c:pt idx="14">
                  <c:v>85</c:v>
                </c:pt>
                <c:pt idx="15">
                  <c:v>90</c:v>
                </c:pt>
                <c:pt idx="16">
                  <c:v>95</c:v>
                </c:pt>
                <c:pt idx="17">
                  <c:v>100</c:v>
                </c:pt>
                <c:pt idx="18">
                  <c:v>105</c:v>
                </c:pt>
                <c:pt idx="19">
                  <c:v>110</c:v>
                </c:pt>
                <c:pt idx="20">
                  <c:v>115</c:v>
                </c:pt>
                <c:pt idx="21">
                  <c:v>120</c:v>
                </c:pt>
                <c:pt idx="22">
                  <c:v>125</c:v>
                </c:pt>
                <c:pt idx="23">
                  <c:v>130</c:v>
                </c:pt>
                <c:pt idx="24">
                  <c:v>135</c:v>
                </c:pt>
                <c:pt idx="25">
                  <c:v>140</c:v>
                </c:pt>
                <c:pt idx="26">
                  <c:v>145</c:v>
                </c:pt>
                <c:pt idx="27">
                  <c:v>150</c:v>
                </c:pt>
                <c:pt idx="28">
                  <c:v>155</c:v>
                </c:pt>
                <c:pt idx="29">
                  <c:v>160</c:v>
                </c:pt>
                <c:pt idx="30">
                  <c:v>165</c:v>
                </c:pt>
                <c:pt idx="31">
                  <c:v>170</c:v>
                </c:pt>
                <c:pt idx="32">
                  <c:v>175</c:v>
                </c:pt>
                <c:pt idx="33">
                  <c:v>180</c:v>
                </c:pt>
                <c:pt idx="34">
                  <c:v>185</c:v>
                </c:pt>
                <c:pt idx="35">
                  <c:v>190</c:v>
                </c:pt>
                <c:pt idx="36">
                  <c:v>195</c:v>
                </c:pt>
                <c:pt idx="37">
                  <c:v>200</c:v>
                </c:pt>
                <c:pt idx="38">
                  <c:v>205</c:v>
                </c:pt>
                <c:pt idx="39">
                  <c:v>210</c:v>
                </c:pt>
                <c:pt idx="40">
                  <c:v>215</c:v>
                </c:pt>
                <c:pt idx="41">
                  <c:v>220</c:v>
                </c:pt>
                <c:pt idx="42">
                  <c:v>225</c:v>
                </c:pt>
                <c:pt idx="43">
                  <c:v>230</c:v>
                </c:pt>
                <c:pt idx="44">
                  <c:v>235</c:v>
                </c:pt>
                <c:pt idx="45">
                  <c:v>240</c:v>
                </c:pt>
                <c:pt idx="46">
                  <c:v>245</c:v>
                </c:pt>
                <c:pt idx="47">
                  <c:v>250</c:v>
                </c:pt>
                <c:pt idx="48">
                  <c:v>255</c:v>
                </c:pt>
                <c:pt idx="49">
                  <c:v>260</c:v>
                </c:pt>
                <c:pt idx="50">
                  <c:v>265</c:v>
                </c:pt>
                <c:pt idx="51">
                  <c:v>270</c:v>
                </c:pt>
                <c:pt idx="52">
                  <c:v>275</c:v>
                </c:pt>
                <c:pt idx="53">
                  <c:v>280</c:v>
                </c:pt>
                <c:pt idx="54">
                  <c:v>285</c:v>
                </c:pt>
                <c:pt idx="55">
                  <c:v>290</c:v>
                </c:pt>
                <c:pt idx="56">
                  <c:v>295</c:v>
                </c:pt>
                <c:pt idx="57">
                  <c:v>300</c:v>
                </c:pt>
                <c:pt idx="58">
                  <c:v>305</c:v>
                </c:pt>
                <c:pt idx="59">
                  <c:v>310</c:v>
                </c:pt>
                <c:pt idx="60">
                  <c:v>315</c:v>
                </c:pt>
                <c:pt idx="61">
                  <c:v>320</c:v>
                </c:pt>
                <c:pt idx="62">
                  <c:v>325</c:v>
                </c:pt>
                <c:pt idx="63">
                  <c:v>330</c:v>
                </c:pt>
                <c:pt idx="64">
                  <c:v>335</c:v>
                </c:pt>
                <c:pt idx="65">
                  <c:v>340</c:v>
                </c:pt>
                <c:pt idx="66">
                  <c:v>345</c:v>
                </c:pt>
                <c:pt idx="67">
                  <c:v>350</c:v>
                </c:pt>
                <c:pt idx="68">
                  <c:v>355</c:v>
                </c:pt>
                <c:pt idx="69">
                  <c:v>360</c:v>
                </c:pt>
                <c:pt idx="70">
                  <c:v>365</c:v>
                </c:pt>
                <c:pt idx="71">
                  <c:v>370</c:v>
                </c:pt>
                <c:pt idx="72">
                  <c:v>375</c:v>
                </c:pt>
                <c:pt idx="73">
                  <c:v>380</c:v>
                </c:pt>
              </c:numCache>
            </c:numRef>
          </c:cat>
          <c:val>
            <c:numRef>
              <c:f>CP!$H$323:$H$397</c:f>
              <c:numCache>
                <c:formatCode>General</c:formatCode>
                <c:ptCount val="75"/>
                <c:pt idx="0">
                  <c:v>1.5666666666666666E-2</c:v>
                </c:pt>
                <c:pt idx="1">
                  <c:v>2.5666666666666667E-2</c:v>
                </c:pt>
                <c:pt idx="2">
                  <c:v>0.04</c:v>
                </c:pt>
                <c:pt idx="3">
                  <c:v>3.3666666666666671E-2</c:v>
                </c:pt>
                <c:pt idx="4">
                  <c:v>3.9E-2</c:v>
                </c:pt>
                <c:pt idx="5">
                  <c:v>5.6333333333333339E-2</c:v>
                </c:pt>
                <c:pt idx="6">
                  <c:v>6.533333333333334E-2</c:v>
                </c:pt>
                <c:pt idx="7">
                  <c:v>3.6333333333333336E-2</c:v>
                </c:pt>
                <c:pt idx="8">
                  <c:v>3.5333333333333335E-2</c:v>
                </c:pt>
                <c:pt idx="9">
                  <c:v>3.7666666666666661E-2</c:v>
                </c:pt>
                <c:pt idx="10">
                  <c:v>3.3333333333333333E-2</c:v>
                </c:pt>
                <c:pt idx="11">
                  <c:v>3.1E-2</c:v>
                </c:pt>
                <c:pt idx="12">
                  <c:v>0.03</c:v>
                </c:pt>
                <c:pt idx="13">
                  <c:v>2.7666666666666669E-2</c:v>
                </c:pt>
                <c:pt idx="14">
                  <c:v>2.7999999999999997E-2</c:v>
                </c:pt>
                <c:pt idx="15">
                  <c:v>2.7999999999999997E-2</c:v>
                </c:pt>
                <c:pt idx="16">
                  <c:v>2.6666666666666668E-2</c:v>
                </c:pt>
                <c:pt idx="17">
                  <c:v>3.3333333333333333E-2</c:v>
                </c:pt>
                <c:pt idx="18">
                  <c:v>3.1E-2</c:v>
                </c:pt>
                <c:pt idx="19">
                  <c:v>3.4333333333333334E-2</c:v>
                </c:pt>
                <c:pt idx="20">
                  <c:v>2.4666666666666667E-2</c:v>
                </c:pt>
                <c:pt idx="21">
                  <c:v>2.866666666666667E-2</c:v>
                </c:pt>
                <c:pt idx="22">
                  <c:v>3.2333333333333332E-2</c:v>
                </c:pt>
                <c:pt idx="23">
                  <c:v>0.03</c:v>
                </c:pt>
                <c:pt idx="24">
                  <c:v>3.1333333333333331E-2</c:v>
                </c:pt>
                <c:pt idx="25">
                  <c:v>3.4333333333333334E-2</c:v>
                </c:pt>
                <c:pt idx="26">
                  <c:v>4.2333333333333334E-2</c:v>
                </c:pt>
                <c:pt idx="27">
                  <c:v>4.6666666666666669E-2</c:v>
                </c:pt>
                <c:pt idx="28">
                  <c:v>4.9666666666666665E-2</c:v>
                </c:pt>
                <c:pt idx="29">
                  <c:v>5.4333333333333324E-2</c:v>
                </c:pt>
                <c:pt idx="30">
                  <c:v>4.6666666666666669E-2</c:v>
                </c:pt>
                <c:pt idx="31">
                  <c:v>5.4333333333333338E-2</c:v>
                </c:pt>
                <c:pt idx="32">
                  <c:v>5.2999999999999999E-2</c:v>
                </c:pt>
                <c:pt idx="33">
                  <c:v>5.7666666666666665E-2</c:v>
                </c:pt>
                <c:pt idx="34">
                  <c:v>6.0666666666666667E-2</c:v>
                </c:pt>
                <c:pt idx="35">
                  <c:v>5.7666666666666665E-2</c:v>
                </c:pt>
                <c:pt idx="36">
                  <c:v>5.0666666666666665E-2</c:v>
                </c:pt>
                <c:pt idx="37">
                  <c:v>6.2E-2</c:v>
                </c:pt>
                <c:pt idx="38">
                  <c:v>6.433333333333334E-2</c:v>
                </c:pt>
                <c:pt idx="39">
                  <c:v>7.400000000000001E-2</c:v>
                </c:pt>
                <c:pt idx="40">
                  <c:v>6.7666666666666667E-2</c:v>
                </c:pt>
                <c:pt idx="41">
                  <c:v>6.9666666666666668E-2</c:v>
                </c:pt>
                <c:pt idx="42">
                  <c:v>6.6333333333333341E-2</c:v>
                </c:pt>
                <c:pt idx="43">
                  <c:v>7.6666666666666675E-2</c:v>
                </c:pt>
                <c:pt idx="44">
                  <c:v>7.0666666666666669E-2</c:v>
                </c:pt>
                <c:pt idx="45">
                  <c:v>7.3000000000000009E-2</c:v>
                </c:pt>
                <c:pt idx="46">
                  <c:v>8.1666666666666665E-2</c:v>
                </c:pt>
                <c:pt idx="47">
                  <c:v>7.9666666666666663E-2</c:v>
                </c:pt>
                <c:pt idx="48">
                  <c:v>7.8666666666666676E-2</c:v>
                </c:pt>
                <c:pt idx="49">
                  <c:v>7.8666666666666676E-2</c:v>
                </c:pt>
                <c:pt idx="50">
                  <c:v>8.666666666666667E-2</c:v>
                </c:pt>
                <c:pt idx="51">
                  <c:v>8.1666666666666665E-2</c:v>
                </c:pt>
                <c:pt idx="52">
                  <c:v>8.7666666666666671E-2</c:v>
                </c:pt>
                <c:pt idx="53">
                  <c:v>8.4000000000000005E-2</c:v>
                </c:pt>
                <c:pt idx="54">
                  <c:v>8.533333333333333E-2</c:v>
                </c:pt>
                <c:pt idx="55">
                  <c:v>8.533333333333333E-2</c:v>
                </c:pt>
                <c:pt idx="56">
                  <c:v>8.8666666666666671E-2</c:v>
                </c:pt>
                <c:pt idx="57">
                  <c:v>8.8666666666666671E-2</c:v>
                </c:pt>
                <c:pt idx="58">
                  <c:v>9.0666666666666673E-2</c:v>
                </c:pt>
                <c:pt idx="59">
                  <c:v>9.3000000000000013E-2</c:v>
                </c:pt>
                <c:pt idx="60">
                  <c:v>8.9666666666666672E-2</c:v>
                </c:pt>
                <c:pt idx="61">
                  <c:v>9.3000000000000013E-2</c:v>
                </c:pt>
                <c:pt idx="62">
                  <c:v>8.8666666666666671E-2</c:v>
                </c:pt>
                <c:pt idx="63">
                  <c:v>9.5333333333333339E-2</c:v>
                </c:pt>
                <c:pt idx="64">
                  <c:v>9.7333333333333341E-2</c:v>
                </c:pt>
                <c:pt idx="65">
                  <c:v>9.2000000000000012E-2</c:v>
                </c:pt>
                <c:pt idx="66">
                  <c:v>9.9666666666666681E-2</c:v>
                </c:pt>
                <c:pt idx="67">
                  <c:v>9.9666666666666681E-2</c:v>
                </c:pt>
                <c:pt idx="68">
                  <c:v>0.10200000000000002</c:v>
                </c:pt>
                <c:pt idx="69">
                  <c:v>0.10533333333333333</c:v>
                </c:pt>
                <c:pt idx="70">
                  <c:v>0.10433333333333333</c:v>
                </c:pt>
                <c:pt idx="71">
                  <c:v>0.10733333333333334</c:v>
                </c:pt>
                <c:pt idx="72">
                  <c:v>0.10966666666666668</c:v>
                </c:pt>
                <c:pt idx="73">
                  <c:v>0.12533333333333332</c:v>
                </c:pt>
                <c:pt idx="74">
                  <c:v>0.12533333333333332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AE-4942-BD51-8D905033BF3D}"/>
            </c:ext>
          </c:extLst>
        </c:ser>
        <c:ser>
          <c:idx val="7"/>
          <c:order val="7"/>
          <c:tx>
            <c:strRef>
              <c:f>CP!$I$322</c:f>
              <c:strCache>
                <c:ptCount val="1"/>
                <c:pt idx="0">
                  <c:v>AE n=1500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CP!$A$323:$A$397</c:f>
              <c:numCache>
                <c:formatCode>General</c:formatCode>
                <c:ptCount val="7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  <c:pt idx="8">
                  <c:v>55</c:v>
                </c:pt>
                <c:pt idx="9">
                  <c:v>60</c:v>
                </c:pt>
                <c:pt idx="10">
                  <c:v>65</c:v>
                </c:pt>
                <c:pt idx="11">
                  <c:v>70</c:v>
                </c:pt>
                <c:pt idx="12">
                  <c:v>75</c:v>
                </c:pt>
                <c:pt idx="13">
                  <c:v>80</c:v>
                </c:pt>
                <c:pt idx="14">
                  <c:v>85</c:v>
                </c:pt>
                <c:pt idx="15">
                  <c:v>90</c:v>
                </c:pt>
                <c:pt idx="16">
                  <c:v>95</c:v>
                </c:pt>
                <c:pt idx="17">
                  <c:v>100</c:v>
                </c:pt>
                <c:pt idx="18">
                  <c:v>105</c:v>
                </c:pt>
                <c:pt idx="19">
                  <c:v>110</c:v>
                </c:pt>
                <c:pt idx="20">
                  <c:v>115</c:v>
                </c:pt>
                <c:pt idx="21">
                  <c:v>120</c:v>
                </c:pt>
                <c:pt idx="22">
                  <c:v>125</c:v>
                </c:pt>
                <c:pt idx="23">
                  <c:v>130</c:v>
                </c:pt>
                <c:pt idx="24">
                  <c:v>135</c:v>
                </c:pt>
                <c:pt idx="25">
                  <c:v>140</c:v>
                </c:pt>
                <c:pt idx="26">
                  <c:v>145</c:v>
                </c:pt>
                <c:pt idx="27">
                  <c:v>150</c:v>
                </c:pt>
                <c:pt idx="28">
                  <c:v>155</c:v>
                </c:pt>
                <c:pt idx="29">
                  <c:v>160</c:v>
                </c:pt>
                <c:pt idx="30">
                  <c:v>165</c:v>
                </c:pt>
                <c:pt idx="31">
                  <c:v>170</c:v>
                </c:pt>
                <c:pt idx="32">
                  <c:v>175</c:v>
                </c:pt>
                <c:pt idx="33">
                  <c:v>180</c:v>
                </c:pt>
                <c:pt idx="34">
                  <c:v>185</c:v>
                </c:pt>
                <c:pt idx="35">
                  <c:v>190</c:v>
                </c:pt>
                <c:pt idx="36">
                  <c:v>195</c:v>
                </c:pt>
                <c:pt idx="37">
                  <c:v>200</c:v>
                </c:pt>
                <c:pt idx="38">
                  <c:v>205</c:v>
                </c:pt>
                <c:pt idx="39">
                  <c:v>210</c:v>
                </c:pt>
                <c:pt idx="40">
                  <c:v>215</c:v>
                </c:pt>
                <c:pt idx="41">
                  <c:v>220</c:v>
                </c:pt>
                <c:pt idx="42">
                  <c:v>225</c:v>
                </c:pt>
                <c:pt idx="43">
                  <c:v>230</c:v>
                </c:pt>
                <c:pt idx="44">
                  <c:v>235</c:v>
                </c:pt>
                <c:pt idx="45">
                  <c:v>240</c:v>
                </c:pt>
                <c:pt idx="46">
                  <c:v>245</c:v>
                </c:pt>
                <c:pt idx="47">
                  <c:v>250</c:v>
                </c:pt>
                <c:pt idx="48">
                  <c:v>255</c:v>
                </c:pt>
                <c:pt idx="49">
                  <c:v>260</c:v>
                </c:pt>
                <c:pt idx="50">
                  <c:v>265</c:v>
                </c:pt>
                <c:pt idx="51">
                  <c:v>270</c:v>
                </c:pt>
                <c:pt idx="52">
                  <c:v>275</c:v>
                </c:pt>
                <c:pt idx="53">
                  <c:v>280</c:v>
                </c:pt>
                <c:pt idx="54">
                  <c:v>285</c:v>
                </c:pt>
                <c:pt idx="55">
                  <c:v>290</c:v>
                </c:pt>
                <c:pt idx="56">
                  <c:v>295</c:v>
                </c:pt>
                <c:pt idx="57">
                  <c:v>300</c:v>
                </c:pt>
                <c:pt idx="58">
                  <c:v>305</c:v>
                </c:pt>
                <c:pt idx="59">
                  <c:v>310</c:v>
                </c:pt>
                <c:pt idx="60">
                  <c:v>315</c:v>
                </c:pt>
                <c:pt idx="61">
                  <c:v>320</c:v>
                </c:pt>
                <c:pt idx="62">
                  <c:v>325</c:v>
                </c:pt>
                <c:pt idx="63">
                  <c:v>330</c:v>
                </c:pt>
                <c:pt idx="64">
                  <c:v>335</c:v>
                </c:pt>
                <c:pt idx="65">
                  <c:v>340</c:v>
                </c:pt>
                <c:pt idx="66">
                  <c:v>345</c:v>
                </c:pt>
                <c:pt idx="67">
                  <c:v>350</c:v>
                </c:pt>
                <c:pt idx="68">
                  <c:v>355</c:v>
                </c:pt>
                <c:pt idx="69">
                  <c:v>360</c:v>
                </c:pt>
                <c:pt idx="70">
                  <c:v>365</c:v>
                </c:pt>
                <c:pt idx="71">
                  <c:v>370</c:v>
                </c:pt>
                <c:pt idx="72">
                  <c:v>375</c:v>
                </c:pt>
                <c:pt idx="73">
                  <c:v>380</c:v>
                </c:pt>
              </c:numCache>
            </c:numRef>
          </c:cat>
          <c:val>
            <c:numRef>
              <c:f>CP!$I$323:$I$397</c:f>
              <c:numCache>
                <c:formatCode>General</c:formatCode>
                <c:ptCount val="75"/>
                <c:pt idx="0">
                  <c:v>9.7452934662236645E-2</c:v>
                </c:pt>
                <c:pt idx="1">
                  <c:v>0.1133259505352525</c:v>
                </c:pt>
                <c:pt idx="2">
                  <c:v>0.14931709117755568</c:v>
                </c:pt>
                <c:pt idx="3">
                  <c:v>0.16629752676264264</c:v>
                </c:pt>
                <c:pt idx="4">
                  <c:v>0.19915097822074534</c:v>
                </c:pt>
                <c:pt idx="5">
                  <c:v>0.17681801402731601</c:v>
                </c:pt>
                <c:pt idx="6">
                  <c:v>0.18235511258767001</c:v>
                </c:pt>
                <c:pt idx="7">
                  <c:v>0.19102990033222533</c:v>
                </c:pt>
                <c:pt idx="8">
                  <c:v>0.17607973421926867</c:v>
                </c:pt>
                <c:pt idx="9">
                  <c:v>0.19102990033222533</c:v>
                </c:pt>
                <c:pt idx="10">
                  <c:v>0.18973791066814302</c:v>
                </c:pt>
                <c:pt idx="11">
                  <c:v>0.19269102990033202</c:v>
                </c:pt>
                <c:pt idx="12">
                  <c:v>0.20358065706902864</c:v>
                </c:pt>
                <c:pt idx="13">
                  <c:v>0.20394979697305235</c:v>
                </c:pt>
                <c:pt idx="14">
                  <c:v>0.19915097822074534</c:v>
                </c:pt>
                <c:pt idx="15">
                  <c:v>0.174787744555186</c:v>
                </c:pt>
                <c:pt idx="16">
                  <c:v>0.18327796234772933</c:v>
                </c:pt>
                <c:pt idx="17">
                  <c:v>0.19619785898855632</c:v>
                </c:pt>
                <c:pt idx="18">
                  <c:v>0.18807678110003634</c:v>
                </c:pt>
                <c:pt idx="19">
                  <c:v>0.19232188999630798</c:v>
                </c:pt>
                <c:pt idx="20">
                  <c:v>0.18863049095607201</c:v>
                </c:pt>
                <c:pt idx="21">
                  <c:v>0.20136581764488667</c:v>
                </c:pt>
                <c:pt idx="22">
                  <c:v>0.19859726836470967</c:v>
                </c:pt>
                <c:pt idx="23">
                  <c:v>0.18438538205979996</c:v>
                </c:pt>
                <c:pt idx="24">
                  <c:v>0.18881506090808364</c:v>
                </c:pt>
                <c:pt idx="25">
                  <c:v>0.19232188999630798</c:v>
                </c:pt>
                <c:pt idx="26">
                  <c:v>0.18512366186784734</c:v>
                </c:pt>
                <c:pt idx="27">
                  <c:v>0.19638242894056801</c:v>
                </c:pt>
                <c:pt idx="28">
                  <c:v>0.18383167220376465</c:v>
                </c:pt>
                <c:pt idx="29">
                  <c:v>0.18863049095607201</c:v>
                </c:pt>
                <c:pt idx="30">
                  <c:v>0.18992248062015468</c:v>
                </c:pt>
                <c:pt idx="31">
                  <c:v>0.19195275009228432</c:v>
                </c:pt>
                <c:pt idx="32">
                  <c:v>0.17552602436323336</c:v>
                </c:pt>
                <c:pt idx="33">
                  <c:v>0.193244739756367</c:v>
                </c:pt>
                <c:pt idx="34">
                  <c:v>0.19139904023624901</c:v>
                </c:pt>
                <c:pt idx="35">
                  <c:v>0.18014027316352865</c:v>
                </c:pt>
                <c:pt idx="36">
                  <c:v>0.177740863787375</c:v>
                </c:pt>
                <c:pt idx="37">
                  <c:v>0.18586194167589468</c:v>
                </c:pt>
                <c:pt idx="38">
                  <c:v>0.203026947212993</c:v>
                </c:pt>
                <c:pt idx="39">
                  <c:v>0.17847914359542202</c:v>
                </c:pt>
                <c:pt idx="40">
                  <c:v>0.18641565153192999</c:v>
                </c:pt>
                <c:pt idx="41">
                  <c:v>0.17091177556293799</c:v>
                </c:pt>
                <c:pt idx="42">
                  <c:v>0.18936877076411898</c:v>
                </c:pt>
                <c:pt idx="43">
                  <c:v>0.20247323735695769</c:v>
                </c:pt>
                <c:pt idx="44">
                  <c:v>0.19712070874861501</c:v>
                </c:pt>
                <c:pt idx="45">
                  <c:v>0.18272425249169366</c:v>
                </c:pt>
                <c:pt idx="46">
                  <c:v>0.18032484311554034</c:v>
                </c:pt>
                <c:pt idx="47">
                  <c:v>0.19545957918050863</c:v>
                </c:pt>
                <c:pt idx="48">
                  <c:v>0.19453672942045</c:v>
                </c:pt>
                <c:pt idx="49">
                  <c:v>0.19453672942045</c:v>
                </c:pt>
                <c:pt idx="50">
                  <c:v>0.19896640826873369</c:v>
                </c:pt>
                <c:pt idx="51">
                  <c:v>0.20874861572535933</c:v>
                </c:pt>
                <c:pt idx="52">
                  <c:v>0.20764119601328868</c:v>
                </c:pt>
                <c:pt idx="53">
                  <c:v>0.20081210778885164</c:v>
                </c:pt>
                <c:pt idx="54">
                  <c:v>0.19767441860465065</c:v>
                </c:pt>
                <c:pt idx="55">
                  <c:v>0.19158361018826101</c:v>
                </c:pt>
                <c:pt idx="56">
                  <c:v>0.19915097822074532</c:v>
                </c:pt>
                <c:pt idx="57">
                  <c:v>0.20634920634920598</c:v>
                </c:pt>
                <c:pt idx="58">
                  <c:v>0.21520856404577302</c:v>
                </c:pt>
                <c:pt idx="59">
                  <c:v>0.22056109265411564</c:v>
                </c:pt>
                <c:pt idx="60">
                  <c:v>0.21391657438169034</c:v>
                </c:pt>
                <c:pt idx="61">
                  <c:v>0.21613141380583198</c:v>
                </c:pt>
                <c:pt idx="62">
                  <c:v>0.21760797342192664</c:v>
                </c:pt>
                <c:pt idx="63">
                  <c:v>0.25046142488002898</c:v>
                </c:pt>
                <c:pt idx="64">
                  <c:v>0.22369878183831601</c:v>
                </c:pt>
                <c:pt idx="65">
                  <c:v>0.23237356958287134</c:v>
                </c:pt>
                <c:pt idx="66">
                  <c:v>0.22425249169435169</c:v>
                </c:pt>
                <c:pt idx="67">
                  <c:v>0.22259136212624533</c:v>
                </c:pt>
                <c:pt idx="68">
                  <c:v>0.236618678479143</c:v>
                </c:pt>
                <c:pt idx="69">
                  <c:v>0.24972314507198168</c:v>
                </c:pt>
                <c:pt idx="70">
                  <c:v>0.229605020302694</c:v>
                </c:pt>
                <c:pt idx="71">
                  <c:v>0.22978959025470602</c:v>
                </c:pt>
                <c:pt idx="72">
                  <c:v>0.24123292727943832</c:v>
                </c:pt>
                <c:pt idx="73">
                  <c:v>0.25692137320044267</c:v>
                </c:pt>
                <c:pt idx="74">
                  <c:v>0.24621631598375734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5AE-4942-BD51-8D905033BF3D}"/>
            </c:ext>
          </c:extLst>
        </c:ser>
        <c:ser>
          <c:idx val="8"/>
          <c:order val="8"/>
          <c:tx>
            <c:strRef>
              <c:f>CP!$J$322</c:f>
              <c:strCache>
                <c:ptCount val="1"/>
                <c:pt idx="0">
                  <c:v>IF n=1500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CP!$A$323:$A$397</c:f>
              <c:numCache>
                <c:formatCode>General</c:formatCode>
                <c:ptCount val="7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  <c:pt idx="8">
                  <c:v>55</c:v>
                </c:pt>
                <c:pt idx="9">
                  <c:v>60</c:v>
                </c:pt>
                <c:pt idx="10">
                  <c:v>65</c:v>
                </c:pt>
                <c:pt idx="11">
                  <c:v>70</c:v>
                </c:pt>
                <c:pt idx="12">
                  <c:v>75</c:v>
                </c:pt>
                <c:pt idx="13">
                  <c:v>80</c:v>
                </c:pt>
                <c:pt idx="14">
                  <c:v>85</c:v>
                </c:pt>
                <c:pt idx="15">
                  <c:v>90</c:v>
                </c:pt>
                <c:pt idx="16">
                  <c:v>95</c:v>
                </c:pt>
                <c:pt idx="17">
                  <c:v>100</c:v>
                </c:pt>
                <c:pt idx="18">
                  <c:v>105</c:v>
                </c:pt>
                <c:pt idx="19">
                  <c:v>110</c:v>
                </c:pt>
                <c:pt idx="20">
                  <c:v>115</c:v>
                </c:pt>
                <c:pt idx="21">
                  <c:v>120</c:v>
                </c:pt>
                <c:pt idx="22">
                  <c:v>125</c:v>
                </c:pt>
                <c:pt idx="23">
                  <c:v>130</c:v>
                </c:pt>
                <c:pt idx="24">
                  <c:v>135</c:v>
                </c:pt>
                <c:pt idx="25">
                  <c:v>140</c:v>
                </c:pt>
                <c:pt idx="26">
                  <c:v>145</c:v>
                </c:pt>
                <c:pt idx="27">
                  <c:v>150</c:v>
                </c:pt>
                <c:pt idx="28">
                  <c:v>155</c:v>
                </c:pt>
                <c:pt idx="29">
                  <c:v>160</c:v>
                </c:pt>
                <c:pt idx="30">
                  <c:v>165</c:v>
                </c:pt>
                <c:pt idx="31">
                  <c:v>170</c:v>
                </c:pt>
                <c:pt idx="32">
                  <c:v>175</c:v>
                </c:pt>
                <c:pt idx="33">
                  <c:v>180</c:v>
                </c:pt>
                <c:pt idx="34">
                  <c:v>185</c:v>
                </c:pt>
                <c:pt idx="35">
                  <c:v>190</c:v>
                </c:pt>
                <c:pt idx="36">
                  <c:v>195</c:v>
                </c:pt>
                <c:pt idx="37">
                  <c:v>200</c:v>
                </c:pt>
                <c:pt idx="38">
                  <c:v>205</c:v>
                </c:pt>
                <c:pt idx="39">
                  <c:v>210</c:v>
                </c:pt>
                <c:pt idx="40">
                  <c:v>215</c:v>
                </c:pt>
                <c:pt idx="41">
                  <c:v>220</c:v>
                </c:pt>
                <c:pt idx="42">
                  <c:v>225</c:v>
                </c:pt>
                <c:pt idx="43">
                  <c:v>230</c:v>
                </c:pt>
                <c:pt idx="44">
                  <c:v>235</c:v>
                </c:pt>
                <c:pt idx="45">
                  <c:v>240</c:v>
                </c:pt>
                <c:pt idx="46">
                  <c:v>245</c:v>
                </c:pt>
                <c:pt idx="47">
                  <c:v>250</c:v>
                </c:pt>
                <c:pt idx="48">
                  <c:v>255</c:v>
                </c:pt>
                <c:pt idx="49">
                  <c:v>260</c:v>
                </c:pt>
                <c:pt idx="50">
                  <c:v>265</c:v>
                </c:pt>
                <c:pt idx="51">
                  <c:v>270</c:v>
                </c:pt>
                <c:pt idx="52">
                  <c:v>275</c:v>
                </c:pt>
                <c:pt idx="53">
                  <c:v>280</c:v>
                </c:pt>
                <c:pt idx="54">
                  <c:v>285</c:v>
                </c:pt>
                <c:pt idx="55">
                  <c:v>290</c:v>
                </c:pt>
                <c:pt idx="56">
                  <c:v>295</c:v>
                </c:pt>
                <c:pt idx="57">
                  <c:v>300</c:v>
                </c:pt>
                <c:pt idx="58">
                  <c:v>305</c:v>
                </c:pt>
                <c:pt idx="59">
                  <c:v>310</c:v>
                </c:pt>
                <c:pt idx="60">
                  <c:v>315</c:v>
                </c:pt>
                <c:pt idx="61">
                  <c:v>320</c:v>
                </c:pt>
                <c:pt idx="62">
                  <c:v>325</c:v>
                </c:pt>
                <c:pt idx="63">
                  <c:v>330</c:v>
                </c:pt>
                <c:pt idx="64">
                  <c:v>335</c:v>
                </c:pt>
                <c:pt idx="65">
                  <c:v>340</c:v>
                </c:pt>
                <c:pt idx="66">
                  <c:v>345</c:v>
                </c:pt>
                <c:pt idx="67">
                  <c:v>350</c:v>
                </c:pt>
                <c:pt idx="68">
                  <c:v>355</c:v>
                </c:pt>
                <c:pt idx="69">
                  <c:v>360</c:v>
                </c:pt>
                <c:pt idx="70">
                  <c:v>365</c:v>
                </c:pt>
                <c:pt idx="71">
                  <c:v>370</c:v>
                </c:pt>
                <c:pt idx="72">
                  <c:v>375</c:v>
                </c:pt>
                <c:pt idx="73">
                  <c:v>380</c:v>
                </c:pt>
              </c:numCache>
            </c:numRef>
          </c:cat>
          <c:val>
            <c:numRef>
              <c:f>CP!$J$323:$J$397</c:f>
              <c:numCache>
                <c:formatCode>General</c:formatCode>
                <c:ptCount val="75"/>
                <c:pt idx="0">
                  <c:v>4.6897666666666671E-2</c:v>
                </c:pt>
                <c:pt idx="1">
                  <c:v>4.4682333333333331E-2</c:v>
                </c:pt>
                <c:pt idx="2">
                  <c:v>4.6712666666666659E-2</c:v>
                </c:pt>
                <c:pt idx="3">
                  <c:v>3.9883666666666664E-2</c:v>
                </c:pt>
                <c:pt idx="4">
                  <c:v>4.9112333333333334E-2</c:v>
                </c:pt>
                <c:pt idx="5">
                  <c:v>4.3021666666666659E-2</c:v>
                </c:pt>
                <c:pt idx="6">
                  <c:v>4.7635666666666666E-2</c:v>
                </c:pt>
                <c:pt idx="7">
                  <c:v>4.9296666666666662E-2</c:v>
                </c:pt>
                <c:pt idx="8">
                  <c:v>4.9481333333333329E-2</c:v>
                </c:pt>
                <c:pt idx="9">
                  <c:v>4.1175666666666666E-2</c:v>
                </c:pt>
                <c:pt idx="10">
                  <c:v>4.7266333333333334E-2</c:v>
                </c:pt>
                <c:pt idx="11">
                  <c:v>4.4498000000000003E-2</c:v>
                </c:pt>
                <c:pt idx="12">
                  <c:v>4.6343666666666672E-2</c:v>
                </c:pt>
                <c:pt idx="13">
                  <c:v>3.8591666666666663E-2</c:v>
                </c:pt>
                <c:pt idx="14">
                  <c:v>4.5235999999999998E-2</c:v>
                </c:pt>
                <c:pt idx="15">
                  <c:v>3.8037999999999995E-2</c:v>
                </c:pt>
                <c:pt idx="16">
                  <c:v>3.9145333333333331E-2</c:v>
                </c:pt>
                <c:pt idx="17">
                  <c:v>4.1545000000000006E-2</c:v>
                </c:pt>
                <c:pt idx="18">
                  <c:v>3.3977333333333332E-2</c:v>
                </c:pt>
                <c:pt idx="19">
                  <c:v>3.9330000000000004E-2</c:v>
                </c:pt>
                <c:pt idx="20">
                  <c:v>4.043766666666667E-2</c:v>
                </c:pt>
                <c:pt idx="21">
                  <c:v>3.2685666666666668E-2</c:v>
                </c:pt>
                <c:pt idx="22">
                  <c:v>3.526933333333334E-2</c:v>
                </c:pt>
                <c:pt idx="23">
                  <c:v>4.0068333333333338E-2</c:v>
                </c:pt>
                <c:pt idx="24">
                  <c:v>4.0068333333333338E-2</c:v>
                </c:pt>
                <c:pt idx="25">
                  <c:v>4.1728999999999995E-2</c:v>
                </c:pt>
                <c:pt idx="26">
                  <c:v>3.8223E-2</c:v>
                </c:pt>
                <c:pt idx="27">
                  <c:v>4.6159000000000006E-2</c:v>
                </c:pt>
                <c:pt idx="28">
                  <c:v>4.5420999999999996E-2</c:v>
                </c:pt>
                <c:pt idx="29">
                  <c:v>4.5420666666666665E-2</c:v>
                </c:pt>
                <c:pt idx="30">
                  <c:v>4.1360666666666664E-2</c:v>
                </c:pt>
                <c:pt idx="31">
                  <c:v>4.6533666666666668E-2</c:v>
                </c:pt>
                <c:pt idx="32">
                  <c:v>4.6712666666666659E-2</c:v>
                </c:pt>
                <c:pt idx="33">
                  <c:v>4.9481333333333329E-2</c:v>
                </c:pt>
                <c:pt idx="34">
                  <c:v>4.8558666666666667E-2</c:v>
                </c:pt>
                <c:pt idx="35">
                  <c:v>5.1142333333333338E-2</c:v>
                </c:pt>
                <c:pt idx="36">
                  <c:v>4.6713000000000005E-2</c:v>
                </c:pt>
                <c:pt idx="37">
                  <c:v>4.9111999999999996E-2</c:v>
                </c:pt>
                <c:pt idx="38">
                  <c:v>5.4464666666666668E-2</c:v>
                </c:pt>
                <c:pt idx="39">
                  <c:v>5.5572333333333335E-2</c:v>
                </c:pt>
                <c:pt idx="40">
                  <c:v>5.4095666666666674E-2</c:v>
                </c:pt>
                <c:pt idx="41">
                  <c:v>5.0035333333333341E-2</c:v>
                </c:pt>
                <c:pt idx="42">
                  <c:v>5.7233333333333331E-2</c:v>
                </c:pt>
                <c:pt idx="43">
                  <c:v>5.3172666666666667E-2</c:v>
                </c:pt>
                <c:pt idx="44">
                  <c:v>5.2434333333333333E-2</c:v>
                </c:pt>
                <c:pt idx="45">
                  <c:v>5.1327000000000005E-2</c:v>
                </c:pt>
                <c:pt idx="46">
                  <c:v>6.0555666666666667E-2</c:v>
                </c:pt>
                <c:pt idx="47">
                  <c:v>6.1109333333333328E-2</c:v>
                </c:pt>
                <c:pt idx="48">
                  <c:v>6.0371000000000001E-2</c:v>
                </c:pt>
                <c:pt idx="49">
                  <c:v>6.0371000000000001E-2</c:v>
                </c:pt>
                <c:pt idx="50">
                  <c:v>6.1108999999999997E-2</c:v>
                </c:pt>
                <c:pt idx="51">
                  <c:v>5.8156000000000006E-2</c:v>
                </c:pt>
                <c:pt idx="52">
                  <c:v>6.572366666666668E-2</c:v>
                </c:pt>
                <c:pt idx="53">
                  <c:v>6.1108999999999997E-2</c:v>
                </c:pt>
                <c:pt idx="54">
                  <c:v>5.7971333333333326E-2</c:v>
                </c:pt>
                <c:pt idx="55">
                  <c:v>6.1109333333333328E-2</c:v>
                </c:pt>
                <c:pt idx="56">
                  <c:v>6.6645999999999997E-2</c:v>
                </c:pt>
                <c:pt idx="57">
                  <c:v>7.4952000000000005E-2</c:v>
                </c:pt>
                <c:pt idx="58">
                  <c:v>6.221666666666667E-2</c:v>
                </c:pt>
                <c:pt idx="59">
                  <c:v>7.0152999999999993E-2</c:v>
                </c:pt>
                <c:pt idx="60">
                  <c:v>6.756899999999999E-2</c:v>
                </c:pt>
                <c:pt idx="61">
                  <c:v>7.0337666666666673E-2</c:v>
                </c:pt>
                <c:pt idx="62">
                  <c:v>7.7720666666666674E-2</c:v>
                </c:pt>
                <c:pt idx="63">
                  <c:v>7.772066666666666E-2</c:v>
                </c:pt>
                <c:pt idx="64">
                  <c:v>7.4952000000000005E-2</c:v>
                </c:pt>
                <c:pt idx="65">
                  <c:v>7.2552666666666668E-2</c:v>
                </c:pt>
                <c:pt idx="66">
                  <c:v>8.0673666666666657E-2</c:v>
                </c:pt>
                <c:pt idx="67">
                  <c:v>7.1814666666666666E-2</c:v>
                </c:pt>
                <c:pt idx="68">
                  <c:v>7.7720333333333336E-2</c:v>
                </c:pt>
                <c:pt idx="69">
                  <c:v>8.657999999999999E-2</c:v>
                </c:pt>
                <c:pt idx="70">
                  <c:v>7.8274333333333335E-2</c:v>
                </c:pt>
                <c:pt idx="71">
                  <c:v>8.602633333333333E-2</c:v>
                </c:pt>
                <c:pt idx="72">
                  <c:v>7.938166666666667E-2</c:v>
                </c:pt>
                <c:pt idx="73">
                  <c:v>9.1747666666666672E-2</c:v>
                </c:pt>
                <c:pt idx="74">
                  <c:v>8.5841666666666663E-2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5AE-4942-BD51-8D905033BF3D}"/>
            </c:ext>
          </c:extLst>
        </c:ser>
        <c:ser>
          <c:idx val="9"/>
          <c:order val="9"/>
          <c:tx>
            <c:strRef>
              <c:f>CP!$K$322</c:f>
              <c:strCache>
                <c:ptCount val="1"/>
                <c:pt idx="0">
                  <c:v>OCSVM n=3000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CP!$A$323:$A$397</c:f>
              <c:numCache>
                <c:formatCode>General</c:formatCode>
                <c:ptCount val="7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  <c:pt idx="8">
                  <c:v>55</c:v>
                </c:pt>
                <c:pt idx="9">
                  <c:v>60</c:v>
                </c:pt>
                <c:pt idx="10">
                  <c:v>65</c:v>
                </c:pt>
                <c:pt idx="11">
                  <c:v>70</c:v>
                </c:pt>
                <c:pt idx="12">
                  <c:v>75</c:v>
                </c:pt>
                <c:pt idx="13">
                  <c:v>80</c:v>
                </c:pt>
                <c:pt idx="14">
                  <c:v>85</c:v>
                </c:pt>
                <c:pt idx="15">
                  <c:v>90</c:v>
                </c:pt>
                <c:pt idx="16">
                  <c:v>95</c:v>
                </c:pt>
                <c:pt idx="17">
                  <c:v>100</c:v>
                </c:pt>
                <c:pt idx="18">
                  <c:v>105</c:v>
                </c:pt>
                <c:pt idx="19">
                  <c:v>110</c:v>
                </c:pt>
                <c:pt idx="20">
                  <c:v>115</c:v>
                </c:pt>
                <c:pt idx="21">
                  <c:v>120</c:v>
                </c:pt>
                <c:pt idx="22">
                  <c:v>125</c:v>
                </c:pt>
                <c:pt idx="23">
                  <c:v>130</c:v>
                </c:pt>
                <c:pt idx="24">
                  <c:v>135</c:v>
                </c:pt>
                <c:pt idx="25">
                  <c:v>140</c:v>
                </c:pt>
                <c:pt idx="26">
                  <c:v>145</c:v>
                </c:pt>
                <c:pt idx="27">
                  <c:v>150</c:v>
                </c:pt>
                <c:pt idx="28">
                  <c:v>155</c:v>
                </c:pt>
                <c:pt idx="29">
                  <c:v>160</c:v>
                </c:pt>
                <c:pt idx="30">
                  <c:v>165</c:v>
                </c:pt>
                <c:pt idx="31">
                  <c:v>170</c:v>
                </c:pt>
                <c:pt idx="32">
                  <c:v>175</c:v>
                </c:pt>
                <c:pt idx="33">
                  <c:v>180</c:v>
                </c:pt>
                <c:pt idx="34">
                  <c:v>185</c:v>
                </c:pt>
                <c:pt idx="35">
                  <c:v>190</c:v>
                </c:pt>
                <c:pt idx="36">
                  <c:v>195</c:v>
                </c:pt>
                <c:pt idx="37">
                  <c:v>200</c:v>
                </c:pt>
                <c:pt idx="38">
                  <c:v>205</c:v>
                </c:pt>
                <c:pt idx="39">
                  <c:v>210</c:v>
                </c:pt>
                <c:pt idx="40">
                  <c:v>215</c:v>
                </c:pt>
                <c:pt idx="41">
                  <c:v>220</c:v>
                </c:pt>
                <c:pt idx="42">
                  <c:v>225</c:v>
                </c:pt>
                <c:pt idx="43">
                  <c:v>230</c:v>
                </c:pt>
                <c:pt idx="44">
                  <c:v>235</c:v>
                </c:pt>
                <c:pt idx="45">
                  <c:v>240</c:v>
                </c:pt>
                <c:pt idx="46">
                  <c:v>245</c:v>
                </c:pt>
                <c:pt idx="47">
                  <c:v>250</c:v>
                </c:pt>
                <c:pt idx="48">
                  <c:v>255</c:v>
                </c:pt>
                <c:pt idx="49">
                  <c:v>260</c:v>
                </c:pt>
                <c:pt idx="50">
                  <c:v>265</c:v>
                </c:pt>
                <c:pt idx="51">
                  <c:v>270</c:v>
                </c:pt>
                <c:pt idx="52">
                  <c:v>275</c:v>
                </c:pt>
                <c:pt idx="53">
                  <c:v>280</c:v>
                </c:pt>
                <c:pt idx="54">
                  <c:v>285</c:v>
                </c:pt>
                <c:pt idx="55">
                  <c:v>290</c:v>
                </c:pt>
                <c:pt idx="56">
                  <c:v>295</c:v>
                </c:pt>
                <c:pt idx="57">
                  <c:v>300</c:v>
                </c:pt>
                <c:pt idx="58">
                  <c:v>305</c:v>
                </c:pt>
                <c:pt idx="59">
                  <c:v>310</c:v>
                </c:pt>
                <c:pt idx="60">
                  <c:v>315</c:v>
                </c:pt>
                <c:pt idx="61">
                  <c:v>320</c:v>
                </c:pt>
                <c:pt idx="62">
                  <c:v>325</c:v>
                </c:pt>
                <c:pt idx="63">
                  <c:v>330</c:v>
                </c:pt>
                <c:pt idx="64">
                  <c:v>335</c:v>
                </c:pt>
                <c:pt idx="65">
                  <c:v>340</c:v>
                </c:pt>
                <c:pt idx="66">
                  <c:v>345</c:v>
                </c:pt>
                <c:pt idx="67">
                  <c:v>350</c:v>
                </c:pt>
                <c:pt idx="68">
                  <c:v>355</c:v>
                </c:pt>
                <c:pt idx="69">
                  <c:v>360</c:v>
                </c:pt>
                <c:pt idx="70">
                  <c:v>365</c:v>
                </c:pt>
                <c:pt idx="71">
                  <c:v>370</c:v>
                </c:pt>
                <c:pt idx="72">
                  <c:v>375</c:v>
                </c:pt>
                <c:pt idx="73">
                  <c:v>380</c:v>
                </c:pt>
              </c:numCache>
            </c:numRef>
          </c:cat>
          <c:val>
            <c:numRef>
              <c:f>CP!$K$323:$K$397</c:f>
              <c:numCache>
                <c:formatCode>General</c:formatCode>
                <c:ptCount val="75"/>
                <c:pt idx="0">
                  <c:v>3.6999999999999998E-2</c:v>
                </c:pt>
                <c:pt idx="1">
                  <c:v>2.1000000000000001E-2</c:v>
                </c:pt>
                <c:pt idx="2">
                  <c:v>3.3000000000000002E-2</c:v>
                </c:pt>
                <c:pt idx="3">
                  <c:v>0.04</c:v>
                </c:pt>
                <c:pt idx="4">
                  <c:v>2.8000000000000001E-2</c:v>
                </c:pt>
                <c:pt idx="5">
                  <c:v>3.3000000000000002E-2</c:v>
                </c:pt>
                <c:pt idx="6">
                  <c:v>0.03</c:v>
                </c:pt>
                <c:pt idx="7">
                  <c:v>0.04</c:v>
                </c:pt>
                <c:pt idx="8">
                  <c:v>3.3000000000000002E-2</c:v>
                </c:pt>
                <c:pt idx="9">
                  <c:v>3.6999999999999998E-2</c:v>
                </c:pt>
                <c:pt idx="10">
                  <c:v>2.8000000000000001E-2</c:v>
                </c:pt>
                <c:pt idx="11">
                  <c:v>2.5999999999999999E-2</c:v>
                </c:pt>
                <c:pt idx="12">
                  <c:v>2.8000000000000001E-2</c:v>
                </c:pt>
                <c:pt idx="13">
                  <c:v>2.8000000000000001E-2</c:v>
                </c:pt>
                <c:pt idx="14">
                  <c:v>0.03</c:v>
                </c:pt>
                <c:pt idx="15">
                  <c:v>2.5999999999999999E-2</c:v>
                </c:pt>
                <c:pt idx="16">
                  <c:v>2.8000000000000001E-2</c:v>
                </c:pt>
                <c:pt idx="17">
                  <c:v>2.8000000000000001E-2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2.8000000000000001E-2</c:v>
                </c:pt>
                <c:pt idx="23">
                  <c:v>0.03</c:v>
                </c:pt>
                <c:pt idx="24">
                  <c:v>0.03</c:v>
                </c:pt>
                <c:pt idx="25">
                  <c:v>2.8000000000000001E-2</c:v>
                </c:pt>
                <c:pt idx="26">
                  <c:v>2.8000000000000001E-2</c:v>
                </c:pt>
                <c:pt idx="27">
                  <c:v>2.8000000000000001E-2</c:v>
                </c:pt>
                <c:pt idx="28">
                  <c:v>3.3000000000000002E-2</c:v>
                </c:pt>
                <c:pt idx="29">
                  <c:v>3.3000000000000002E-2</c:v>
                </c:pt>
                <c:pt idx="30">
                  <c:v>0.03</c:v>
                </c:pt>
                <c:pt idx="31">
                  <c:v>2.5999999999999999E-2</c:v>
                </c:pt>
                <c:pt idx="32">
                  <c:v>2.3000000000000003E-2</c:v>
                </c:pt>
                <c:pt idx="33">
                  <c:v>2.3000000000000003E-2</c:v>
                </c:pt>
                <c:pt idx="34">
                  <c:v>2.8000000000000001E-2</c:v>
                </c:pt>
                <c:pt idx="35">
                  <c:v>2.8000000000000001E-2</c:v>
                </c:pt>
                <c:pt idx="36">
                  <c:v>2.8000000000000001E-2</c:v>
                </c:pt>
                <c:pt idx="37">
                  <c:v>0.03</c:v>
                </c:pt>
                <c:pt idx="38">
                  <c:v>2.5999999999999999E-2</c:v>
                </c:pt>
                <c:pt idx="39">
                  <c:v>2.5999999999999999E-2</c:v>
                </c:pt>
                <c:pt idx="40">
                  <c:v>2.5999999999999999E-2</c:v>
                </c:pt>
                <c:pt idx="41">
                  <c:v>2.8000000000000001E-2</c:v>
                </c:pt>
                <c:pt idx="42">
                  <c:v>2.5999999999999999E-2</c:v>
                </c:pt>
                <c:pt idx="43">
                  <c:v>2.5999999999999999E-2</c:v>
                </c:pt>
                <c:pt idx="44">
                  <c:v>2.5999999999999999E-2</c:v>
                </c:pt>
                <c:pt idx="45">
                  <c:v>3.3000000000000002E-2</c:v>
                </c:pt>
                <c:pt idx="46">
                  <c:v>2.3000000000000003E-2</c:v>
                </c:pt>
                <c:pt idx="47">
                  <c:v>0.03</c:v>
                </c:pt>
                <c:pt idx="48">
                  <c:v>2.8000000000000001E-2</c:v>
                </c:pt>
                <c:pt idx="49">
                  <c:v>2.8000000000000001E-2</c:v>
                </c:pt>
                <c:pt idx="50">
                  <c:v>2.5999999999999999E-2</c:v>
                </c:pt>
                <c:pt idx="51">
                  <c:v>2.5999999999999999E-2</c:v>
                </c:pt>
                <c:pt idx="52">
                  <c:v>2.5999999999999999E-2</c:v>
                </c:pt>
                <c:pt idx="53">
                  <c:v>2.1000000000000001E-2</c:v>
                </c:pt>
                <c:pt idx="54">
                  <c:v>2.5999999999999999E-2</c:v>
                </c:pt>
                <c:pt idx="55">
                  <c:v>2.5999999999999999E-2</c:v>
                </c:pt>
                <c:pt idx="56">
                  <c:v>2.5999999999999999E-2</c:v>
                </c:pt>
                <c:pt idx="57">
                  <c:v>2.1000000000000001E-2</c:v>
                </c:pt>
                <c:pt idx="58">
                  <c:v>2.5999999999999999E-2</c:v>
                </c:pt>
                <c:pt idx="59">
                  <c:v>2.3000000000000003E-2</c:v>
                </c:pt>
                <c:pt idx="60">
                  <c:v>2.1000000000000001E-2</c:v>
                </c:pt>
                <c:pt idx="61">
                  <c:v>2.1000000000000001E-2</c:v>
                </c:pt>
                <c:pt idx="62">
                  <c:v>2.1000000000000001E-2</c:v>
                </c:pt>
                <c:pt idx="63">
                  <c:v>2.3000000000000003E-2</c:v>
                </c:pt>
                <c:pt idx="64">
                  <c:v>1.9E-2</c:v>
                </c:pt>
                <c:pt idx="65">
                  <c:v>2.5999999999999999E-2</c:v>
                </c:pt>
                <c:pt idx="66">
                  <c:v>2.3000000000000003E-2</c:v>
                </c:pt>
                <c:pt idx="67">
                  <c:v>1.9E-2</c:v>
                </c:pt>
                <c:pt idx="68">
                  <c:v>2.3000000000000003E-2</c:v>
                </c:pt>
                <c:pt idx="69">
                  <c:v>1.9E-2</c:v>
                </c:pt>
                <c:pt idx="70">
                  <c:v>2.1000000000000001E-2</c:v>
                </c:pt>
                <c:pt idx="71">
                  <c:v>2.3000000000000003E-2</c:v>
                </c:pt>
                <c:pt idx="72">
                  <c:v>2.5999999999999999E-2</c:v>
                </c:pt>
                <c:pt idx="73">
                  <c:v>2.1000000000000001E-2</c:v>
                </c:pt>
                <c:pt idx="74">
                  <c:v>1.9E-2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5AE-4942-BD51-8D905033BF3D}"/>
            </c:ext>
          </c:extLst>
        </c:ser>
        <c:ser>
          <c:idx val="10"/>
          <c:order val="10"/>
          <c:tx>
            <c:strRef>
              <c:f>CP!$L$322</c:f>
              <c:strCache>
                <c:ptCount val="1"/>
                <c:pt idx="0">
                  <c:v>AE n=3000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CP!$A$323:$A$397</c:f>
              <c:numCache>
                <c:formatCode>General</c:formatCode>
                <c:ptCount val="7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  <c:pt idx="8">
                  <c:v>55</c:v>
                </c:pt>
                <c:pt idx="9">
                  <c:v>60</c:v>
                </c:pt>
                <c:pt idx="10">
                  <c:v>65</c:v>
                </c:pt>
                <c:pt idx="11">
                  <c:v>70</c:v>
                </c:pt>
                <c:pt idx="12">
                  <c:v>75</c:v>
                </c:pt>
                <c:pt idx="13">
                  <c:v>80</c:v>
                </c:pt>
                <c:pt idx="14">
                  <c:v>85</c:v>
                </c:pt>
                <c:pt idx="15">
                  <c:v>90</c:v>
                </c:pt>
                <c:pt idx="16">
                  <c:v>95</c:v>
                </c:pt>
                <c:pt idx="17">
                  <c:v>100</c:v>
                </c:pt>
                <c:pt idx="18">
                  <c:v>105</c:v>
                </c:pt>
                <c:pt idx="19">
                  <c:v>110</c:v>
                </c:pt>
                <c:pt idx="20">
                  <c:v>115</c:v>
                </c:pt>
                <c:pt idx="21">
                  <c:v>120</c:v>
                </c:pt>
                <c:pt idx="22">
                  <c:v>125</c:v>
                </c:pt>
                <c:pt idx="23">
                  <c:v>130</c:v>
                </c:pt>
                <c:pt idx="24">
                  <c:v>135</c:v>
                </c:pt>
                <c:pt idx="25">
                  <c:v>140</c:v>
                </c:pt>
                <c:pt idx="26">
                  <c:v>145</c:v>
                </c:pt>
                <c:pt idx="27">
                  <c:v>150</c:v>
                </c:pt>
                <c:pt idx="28">
                  <c:v>155</c:v>
                </c:pt>
                <c:pt idx="29">
                  <c:v>160</c:v>
                </c:pt>
                <c:pt idx="30">
                  <c:v>165</c:v>
                </c:pt>
                <c:pt idx="31">
                  <c:v>170</c:v>
                </c:pt>
                <c:pt idx="32">
                  <c:v>175</c:v>
                </c:pt>
                <c:pt idx="33">
                  <c:v>180</c:v>
                </c:pt>
                <c:pt idx="34">
                  <c:v>185</c:v>
                </c:pt>
                <c:pt idx="35">
                  <c:v>190</c:v>
                </c:pt>
                <c:pt idx="36">
                  <c:v>195</c:v>
                </c:pt>
                <c:pt idx="37">
                  <c:v>200</c:v>
                </c:pt>
                <c:pt idx="38">
                  <c:v>205</c:v>
                </c:pt>
                <c:pt idx="39">
                  <c:v>210</c:v>
                </c:pt>
                <c:pt idx="40">
                  <c:v>215</c:v>
                </c:pt>
                <c:pt idx="41">
                  <c:v>220</c:v>
                </c:pt>
                <c:pt idx="42">
                  <c:v>225</c:v>
                </c:pt>
                <c:pt idx="43">
                  <c:v>230</c:v>
                </c:pt>
                <c:pt idx="44">
                  <c:v>235</c:v>
                </c:pt>
                <c:pt idx="45">
                  <c:v>240</c:v>
                </c:pt>
                <c:pt idx="46">
                  <c:v>245</c:v>
                </c:pt>
                <c:pt idx="47">
                  <c:v>250</c:v>
                </c:pt>
                <c:pt idx="48">
                  <c:v>255</c:v>
                </c:pt>
                <c:pt idx="49">
                  <c:v>260</c:v>
                </c:pt>
                <c:pt idx="50">
                  <c:v>265</c:v>
                </c:pt>
                <c:pt idx="51">
                  <c:v>270</c:v>
                </c:pt>
                <c:pt idx="52">
                  <c:v>275</c:v>
                </c:pt>
                <c:pt idx="53">
                  <c:v>280</c:v>
                </c:pt>
                <c:pt idx="54">
                  <c:v>285</c:v>
                </c:pt>
                <c:pt idx="55">
                  <c:v>290</c:v>
                </c:pt>
                <c:pt idx="56">
                  <c:v>295</c:v>
                </c:pt>
                <c:pt idx="57">
                  <c:v>300</c:v>
                </c:pt>
                <c:pt idx="58">
                  <c:v>305</c:v>
                </c:pt>
                <c:pt idx="59">
                  <c:v>310</c:v>
                </c:pt>
                <c:pt idx="60">
                  <c:v>315</c:v>
                </c:pt>
                <c:pt idx="61">
                  <c:v>320</c:v>
                </c:pt>
                <c:pt idx="62">
                  <c:v>325</c:v>
                </c:pt>
                <c:pt idx="63">
                  <c:v>330</c:v>
                </c:pt>
                <c:pt idx="64">
                  <c:v>335</c:v>
                </c:pt>
                <c:pt idx="65">
                  <c:v>340</c:v>
                </c:pt>
                <c:pt idx="66">
                  <c:v>345</c:v>
                </c:pt>
                <c:pt idx="67">
                  <c:v>350</c:v>
                </c:pt>
                <c:pt idx="68">
                  <c:v>355</c:v>
                </c:pt>
                <c:pt idx="69">
                  <c:v>360</c:v>
                </c:pt>
                <c:pt idx="70">
                  <c:v>365</c:v>
                </c:pt>
                <c:pt idx="71">
                  <c:v>370</c:v>
                </c:pt>
                <c:pt idx="72">
                  <c:v>375</c:v>
                </c:pt>
                <c:pt idx="73">
                  <c:v>380</c:v>
                </c:pt>
              </c:numCache>
            </c:numRef>
          </c:cat>
          <c:val>
            <c:numRef>
              <c:f>CP!$L$323:$L$397</c:f>
              <c:numCache>
                <c:formatCode>General</c:formatCode>
                <c:ptCount val="75"/>
                <c:pt idx="0">
                  <c:v>9.2894056847545037E-2</c:v>
                </c:pt>
                <c:pt idx="1">
                  <c:v>9.4186046511627874E-2</c:v>
                </c:pt>
                <c:pt idx="2">
                  <c:v>0.12157622739018033</c:v>
                </c:pt>
                <c:pt idx="3">
                  <c:v>0.14328165374676968</c:v>
                </c:pt>
                <c:pt idx="4">
                  <c:v>0.15671834625322933</c:v>
                </c:pt>
                <c:pt idx="5">
                  <c:v>0.153617571059431</c:v>
                </c:pt>
                <c:pt idx="6">
                  <c:v>0.15684754521963765</c:v>
                </c:pt>
                <c:pt idx="7">
                  <c:v>0.14741602067183399</c:v>
                </c:pt>
                <c:pt idx="8">
                  <c:v>0.12441860465116232</c:v>
                </c:pt>
                <c:pt idx="9">
                  <c:v>0.14638242894056833</c:v>
                </c:pt>
                <c:pt idx="10">
                  <c:v>0.140568475452196</c:v>
                </c:pt>
                <c:pt idx="11">
                  <c:v>0.13759689922480567</c:v>
                </c:pt>
                <c:pt idx="12">
                  <c:v>0.14974160206718298</c:v>
                </c:pt>
                <c:pt idx="13">
                  <c:v>0.14147286821705399</c:v>
                </c:pt>
                <c:pt idx="14">
                  <c:v>0.13901808785529665</c:v>
                </c:pt>
                <c:pt idx="15">
                  <c:v>0.13087855297157566</c:v>
                </c:pt>
                <c:pt idx="16">
                  <c:v>0.11770025839793201</c:v>
                </c:pt>
                <c:pt idx="17">
                  <c:v>0.11873385012919835</c:v>
                </c:pt>
                <c:pt idx="18">
                  <c:v>0.11498708010335867</c:v>
                </c:pt>
                <c:pt idx="19">
                  <c:v>0.10452196382428898</c:v>
                </c:pt>
                <c:pt idx="20">
                  <c:v>9.9095607235141811E-2</c:v>
                </c:pt>
                <c:pt idx="21">
                  <c:v>0.108527131782945</c:v>
                </c:pt>
                <c:pt idx="22">
                  <c:v>9.75452196382426E-2</c:v>
                </c:pt>
                <c:pt idx="23">
                  <c:v>9.9741602067183341E-2</c:v>
                </c:pt>
                <c:pt idx="24">
                  <c:v>9.9095607235141991E-2</c:v>
                </c:pt>
                <c:pt idx="25">
                  <c:v>9.1602067183462241E-2</c:v>
                </c:pt>
                <c:pt idx="26">
                  <c:v>9.7286821705426282E-2</c:v>
                </c:pt>
                <c:pt idx="27">
                  <c:v>9.3281653746769791E-2</c:v>
                </c:pt>
                <c:pt idx="28">
                  <c:v>8.9147286821705404E-2</c:v>
                </c:pt>
                <c:pt idx="29">
                  <c:v>8.9664082687338456E-2</c:v>
                </c:pt>
                <c:pt idx="30">
                  <c:v>9.7416020671834372E-2</c:v>
                </c:pt>
                <c:pt idx="31">
                  <c:v>9.3023255813953432E-2</c:v>
                </c:pt>
                <c:pt idx="32">
                  <c:v>9.3410852713178241E-2</c:v>
                </c:pt>
                <c:pt idx="33">
                  <c:v>8.9793281653746712E-2</c:v>
                </c:pt>
                <c:pt idx="34">
                  <c:v>9.3540051679586525E-2</c:v>
                </c:pt>
                <c:pt idx="35">
                  <c:v>8.9922480620154968E-2</c:v>
                </c:pt>
                <c:pt idx="36">
                  <c:v>9.625322997416004E-2</c:v>
                </c:pt>
                <c:pt idx="37">
                  <c:v>8.8372093023255785E-2</c:v>
                </c:pt>
                <c:pt idx="38">
                  <c:v>9.0697674418604615E-2</c:v>
                </c:pt>
                <c:pt idx="39">
                  <c:v>8.9147286821705404E-2</c:v>
                </c:pt>
                <c:pt idx="40">
                  <c:v>8.8759689922480567E-2</c:v>
                </c:pt>
                <c:pt idx="41">
                  <c:v>8.7338501291989654E-2</c:v>
                </c:pt>
                <c:pt idx="42">
                  <c:v>8.3850129198966339E-2</c:v>
                </c:pt>
                <c:pt idx="43">
                  <c:v>8.2299741602067142E-2</c:v>
                </c:pt>
                <c:pt idx="44">
                  <c:v>8.1912144702842374E-2</c:v>
                </c:pt>
                <c:pt idx="45">
                  <c:v>8.4366925064599474E-2</c:v>
                </c:pt>
                <c:pt idx="46">
                  <c:v>8.6046511627906927E-2</c:v>
                </c:pt>
                <c:pt idx="47">
                  <c:v>8.2428940568475398E-2</c:v>
                </c:pt>
                <c:pt idx="48">
                  <c:v>8.2687338501291938E-2</c:v>
                </c:pt>
                <c:pt idx="49">
                  <c:v>8.0878552971576201E-2</c:v>
                </c:pt>
                <c:pt idx="50">
                  <c:v>7.9844961240310056E-2</c:v>
                </c:pt>
                <c:pt idx="51">
                  <c:v>8.0490956072351405E-2</c:v>
                </c:pt>
                <c:pt idx="52">
                  <c:v>7.1963824289405676E-2</c:v>
                </c:pt>
                <c:pt idx="53">
                  <c:v>7.3255813953488361E-2</c:v>
                </c:pt>
                <c:pt idx="54">
                  <c:v>7.6485788113695038E-2</c:v>
                </c:pt>
                <c:pt idx="55">
                  <c:v>7.4418604651162734E-2</c:v>
                </c:pt>
                <c:pt idx="56">
                  <c:v>7.6614987080103336E-2</c:v>
                </c:pt>
                <c:pt idx="57">
                  <c:v>7.2222222222222174E-2</c:v>
                </c:pt>
                <c:pt idx="58">
                  <c:v>7.506459948320407E-2</c:v>
                </c:pt>
                <c:pt idx="59">
                  <c:v>6.9509043927648534E-2</c:v>
                </c:pt>
                <c:pt idx="60">
                  <c:v>6.6795865633074894E-2</c:v>
                </c:pt>
                <c:pt idx="61">
                  <c:v>6.7441860465116188E-2</c:v>
                </c:pt>
                <c:pt idx="62">
                  <c:v>7.1059431524547731E-2</c:v>
                </c:pt>
                <c:pt idx="63">
                  <c:v>6.3953488372092998E-2</c:v>
                </c:pt>
                <c:pt idx="64">
                  <c:v>7.1834625322997378E-2</c:v>
                </c:pt>
                <c:pt idx="65">
                  <c:v>6.6149870801033531E-2</c:v>
                </c:pt>
                <c:pt idx="66">
                  <c:v>6.8346253229974105E-2</c:v>
                </c:pt>
                <c:pt idx="67">
                  <c:v>6.7183462532299704E-2</c:v>
                </c:pt>
                <c:pt idx="68">
                  <c:v>7.0671834625322935E-2</c:v>
                </c:pt>
                <c:pt idx="69">
                  <c:v>6.6795865633074894E-2</c:v>
                </c:pt>
                <c:pt idx="70">
                  <c:v>7.1963824289405634E-2</c:v>
                </c:pt>
                <c:pt idx="71">
                  <c:v>6.5633074935400493E-2</c:v>
                </c:pt>
                <c:pt idx="72">
                  <c:v>7.1834625322997378E-2</c:v>
                </c:pt>
                <c:pt idx="73">
                  <c:v>6.5633074935400479E-2</c:v>
                </c:pt>
                <c:pt idx="74">
                  <c:v>6.3695090439276444E-2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5AE-4942-BD51-8D905033BF3D}"/>
            </c:ext>
          </c:extLst>
        </c:ser>
        <c:ser>
          <c:idx val="11"/>
          <c:order val="11"/>
          <c:tx>
            <c:strRef>
              <c:f>CP!$M$322</c:f>
              <c:strCache>
                <c:ptCount val="1"/>
                <c:pt idx="0">
                  <c:v>IF n=3000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CP!$A$323:$A$397</c:f>
              <c:numCache>
                <c:formatCode>General</c:formatCode>
                <c:ptCount val="7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  <c:pt idx="8">
                  <c:v>55</c:v>
                </c:pt>
                <c:pt idx="9">
                  <c:v>60</c:v>
                </c:pt>
                <c:pt idx="10">
                  <c:v>65</c:v>
                </c:pt>
                <c:pt idx="11">
                  <c:v>70</c:v>
                </c:pt>
                <c:pt idx="12">
                  <c:v>75</c:v>
                </c:pt>
                <c:pt idx="13">
                  <c:v>80</c:v>
                </c:pt>
                <c:pt idx="14">
                  <c:v>85</c:v>
                </c:pt>
                <c:pt idx="15">
                  <c:v>90</c:v>
                </c:pt>
                <c:pt idx="16">
                  <c:v>95</c:v>
                </c:pt>
                <c:pt idx="17">
                  <c:v>100</c:v>
                </c:pt>
                <c:pt idx="18">
                  <c:v>105</c:v>
                </c:pt>
                <c:pt idx="19">
                  <c:v>110</c:v>
                </c:pt>
                <c:pt idx="20">
                  <c:v>115</c:v>
                </c:pt>
                <c:pt idx="21">
                  <c:v>120</c:v>
                </c:pt>
                <c:pt idx="22">
                  <c:v>125</c:v>
                </c:pt>
                <c:pt idx="23">
                  <c:v>130</c:v>
                </c:pt>
                <c:pt idx="24">
                  <c:v>135</c:v>
                </c:pt>
                <c:pt idx="25">
                  <c:v>140</c:v>
                </c:pt>
                <c:pt idx="26">
                  <c:v>145</c:v>
                </c:pt>
                <c:pt idx="27">
                  <c:v>150</c:v>
                </c:pt>
                <c:pt idx="28">
                  <c:v>155</c:v>
                </c:pt>
                <c:pt idx="29">
                  <c:v>160</c:v>
                </c:pt>
                <c:pt idx="30">
                  <c:v>165</c:v>
                </c:pt>
                <c:pt idx="31">
                  <c:v>170</c:v>
                </c:pt>
                <c:pt idx="32">
                  <c:v>175</c:v>
                </c:pt>
                <c:pt idx="33">
                  <c:v>180</c:v>
                </c:pt>
                <c:pt idx="34">
                  <c:v>185</c:v>
                </c:pt>
                <c:pt idx="35">
                  <c:v>190</c:v>
                </c:pt>
                <c:pt idx="36">
                  <c:v>195</c:v>
                </c:pt>
                <c:pt idx="37">
                  <c:v>200</c:v>
                </c:pt>
                <c:pt idx="38">
                  <c:v>205</c:v>
                </c:pt>
                <c:pt idx="39">
                  <c:v>210</c:v>
                </c:pt>
                <c:pt idx="40">
                  <c:v>215</c:v>
                </c:pt>
                <c:pt idx="41">
                  <c:v>220</c:v>
                </c:pt>
                <c:pt idx="42">
                  <c:v>225</c:v>
                </c:pt>
                <c:pt idx="43">
                  <c:v>230</c:v>
                </c:pt>
                <c:pt idx="44">
                  <c:v>235</c:v>
                </c:pt>
                <c:pt idx="45">
                  <c:v>240</c:v>
                </c:pt>
                <c:pt idx="46">
                  <c:v>245</c:v>
                </c:pt>
                <c:pt idx="47">
                  <c:v>250</c:v>
                </c:pt>
                <c:pt idx="48">
                  <c:v>255</c:v>
                </c:pt>
                <c:pt idx="49">
                  <c:v>260</c:v>
                </c:pt>
                <c:pt idx="50">
                  <c:v>265</c:v>
                </c:pt>
                <c:pt idx="51">
                  <c:v>270</c:v>
                </c:pt>
                <c:pt idx="52">
                  <c:v>275</c:v>
                </c:pt>
                <c:pt idx="53">
                  <c:v>280</c:v>
                </c:pt>
                <c:pt idx="54">
                  <c:v>285</c:v>
                </c:pt>
                <c:pt idx="55">
                  <c:v>290</c:v>
                </c:pt>
                <c:pt idx="56">
                  <c:v>295</c:v>
                </c:pt>
                <c:pt idx="57">
                  <c:v>300</c:v>
                </c:pt>
                <c:pt idx="58">
                  <c:v>305</c:v>
                </c:pt>
                <c:pt idx="59">
                  <c:v>310</c:v>
                </c:pt>
                <c:pt idx="60">
                  <c:v>315</c:v>
                </c:pt>
                <c:pt idx="61">
                  <c:v>320</c:v>
                </c:pt>
                <c:pt idx="62">
                  <c:v>325</c:v>
                </c:pt>
                <c:pt idx="63">
                  <c:v>330</c:v>
                </c:pt>
                <c:pt idx="64">
                  <c:v>335</c:v>
                </c:pt>
                <c:pt idx="65">
                  <c:v>340</c:v>
                </c:pt>
                <c:pt idx="66">
                  <c:v>345</c:v>
                </c:pt>
                <c:pt idx="67">
                  <c:v>350</c:v>
                </c:pt>
                <c:pt idx="68">
                  <c:v>355</c:v>
                </c:pt>
                <c:pt idx="69">
                  <c:v>360</c:v>
                </c:pt>
                <c:pt idx="70">
                  <c:v>365</c:v>
                </c:pt>
                <c:pt idx="71">
                  <c:v>370</c:v>
                </c:pt>
                <c:pt idx="72">
                  <c:v>375</c:v>
                </c:pt>
                <c:pt idx="73">
                  <c:v>380</c:v>
                </c:pt>
              </c:numCache>
            </c:numRef>
          </c:cat>
          <c:val>
            <c:numRef>
              <c:f>CP!$M$323:$M$397</c:f>
              <c:numCache>
                <c:formatCode>General</c:formatCode>
                <c:ptCount val="75"/>
                <c:pt idx="0">
                  <c:v>6.5464999999999995E-2</c:v>
                </c:pt>
                <c:pt idx="1">
                  <c:v>7.0503999999999997E-2</c:v>
                </c:pt>
                <c:pt idx="2">
                  <c:v>6.8953E-2</c:v>
                </c:pt>
                <c:pt idx="3">
                  <c:v>7.3992000000000002E-2</c:v>
                </c:pt>
                <c:pt idx="4">
                  <c:v>6.9728999999999999E-2</c:v>
                </c:pt>
                <c:pt idx="5">
                  <c:v>6.1976999999999997E-2</c:v>
                </c:pt>
                <c:pt idx="6">
                  <c:v>6.3140000000000002E-2</c:v>
                </c:pt>
                <c:pt idx="7">
                  <c:v>6.5077999999999997E-2</c:v>
                </c:pt>
                <c:pt idx="8">
                  <c:v>5.9651000000000003E-2</c:v>
                </c:pt>
                <c:pt idx="9">
                  <c:v>6.3915E-2</c:v>
                </c:pt>
                <c:pt idx="10">
                  <c:v>6.1201999999999999E-2</c:v>
                </c:pt>
                <c:pt idx="11">
                  <c:v>5.7326000000000009E-2</c:v>
                </c:pt>
                <c:pt idx="12">
                  <c:v>6.2364000000000003E-2</c:v>
                </c:pt>
                <c:pt idx="13">
                  <c:v>5.655000000000001E-2</c:v>
                </c:pt>
                <c:pt idx="14">
                  <c:v>5.1512000000000002E-2</c:v>
                </c:pt>
                <c:pt idx="15">
                  <c:v>4.9186000000000001E-2</c:v>
                </c:pt>
                <c:pt idx="16">
                  <c:v>5.3449999999999998E-2</c:v>
                </c:pt>
                <c:pt idx="17">
                  <c:v>4.9186000000000001E-2</c:v>
                </c:pt>
                <c:pt idx="18">
                  <c:v>5.0348999999999998E-2</c:v>
                </c:pt>
                <c:pt idx="19">
                  <c:v>4.8411000000000003E-2</c:v>
                </c:pt>
                <c:pt idx="20">
                  <c:v>4.3372000000000001E-2</c:v>
                </c:pt>
                <c:pt idx="21">
                  <c:v>4.4146999999999999E-2</c:v>
                </c:pt>
                <c:pt idx="22">
                  <c:v>3.8332999999999999E-2</c:v>
                </c:pt>
                <c:pt idx="23">
                  <c:v>4.2209000000000003E-2</c:v>
                </c:pt>
                <c:pt idx="24">
                  <c:v>3.9496000000000003E-2</c:v>
                </c:pt>
                <c:pt idx="25">
                  <c:v>4.376E-2</c:v>
                </c:pt>
                <c:pt idx="26">
                  <c:v>4.3372000000000001E-2</c:v>
                </c:pt>
                <c:pt idx="27">
                  <c:v>3.9496000000000003E-2</c:v>
                </c:pt>
                <c:pt idx="28">
                  <c:v>3.8720999999999998E-2</c:v>
                </c:pt>
                <c:pt idx="29">
                  <c:v>4.3372000000000001E-2</c:v>
                </c:pt>
                <c:pt idx="30">
                  <c:v>4.1821999999999998E-2</c:v>
                </c:pt>
                <c:pt idx="31">
                  <c:v>4.1047E-2</c:v>
                </c:pt>
                <c:pt idx="32">
                  <c:v>3.9496000000000003E-2</c:v>
                </c:pt>
                <c:pt idx="33">
                  <c:v>3.9884000000000003E-2</c:v>
                </c:pt>
                <c:pt idx="34">
                  <c:v>3.8332999999999999E-2</c:v>
                </c:pt>
                <c:pt idx="35">
                  <c:v>3.6394999999999997E-2</c:v>
                </c:pt>
                <c:pt idx="36">
                  <c:v>4.0271000000000001E-2</c:v>
                </c:pt>
                <c:pt idx="37">
                  <c:v>3.7558000000000001E-2</c:v>
                </c:pt>
                <c:pt idx="38">
                  <c:v>3.8332999999999999E-2</c:v>
                </c:pt>
                <c:pt idx="39">
                  <c:v>3.5233E-2</c:v>
                </c:pt>
                <c:pt idx="40">
                  <c:v>3.6783000000000003E-2</c:v>
                </c:pt>
                <c:pt idx="41">
                  <c:v>3.5619999999999999E-2</c:v>
                </c:pt>
                <c:pt idx="42">
                  <c:v>3.4457000000000002E-2</c:v>
                </c:pt>
                <c:pt idx="43">
                  <c:v>3.4845000000000001E-2</c:v>
                </c:pt>
                <c:pt idx="44">
                  <c:v>3.3294999999999998E-2</c:v>
                </c:pt>
                <c:pt idx="45">
                  <c:v>2.9031000000000001E-2</c:v>
                </c:pt>
                <c:pt idx="46">
                  <c:v>3.1744000000000001E-2</c:v>
                </c:pt>
                <c:pt idx="47">
                  <c:v>3.6007999999999998E-2</c:v>
                </c:pt>
                <c:pt idx="48">
                  <c:v>3.1357000000000003E-2</c:v>
                </c:pt>
                <c:pt idx="49">
                  <c:v>3.6394999999999997E-2</c:v>
                </c:pt>
                <c:pt idx="50">
                  <c:v>3.1357000000000003E-2</c:v>
                </c:pt>
                <c:pt idx="51">
                  <c:v>3.1357000000000003E-2</c:v>
                </c:pt>
                <c:pt idx="52">
                  <c:v>3.0581000000000001E-2</c:v>
                </c:pt>
                <c:pt idx="53">
                  <c:v>2.7868E-2</c:v>
                </c:pt>
                <c:pt idx="54">
                  <c:v>2.9805999999999999E-2</c:v>
                </c:pt>
                <c:pt idx="55">
                  <c:v>2.8642999999999998E-2</c:v>
                </c:pt>
                <c:pt idx="56">
                  <c:v>2.9031000000000001E-2</c:v>
                </c:pt>
                <c:pt idx="57">
                  <c:v>3.0193999999999999E-2</c:v>
                </c:pt>
                <c:pt idx="58">
                  <c:v>2.9419000000000001E-2</c:v>
                </c:pt>
                <c:pt idx="59">
                  <c:v>2.9805999999999999E-2</c:v>
                </c:pt>
                <c:pt idx="60">
                  <c:v>2.7868E-2</c:v>
                </c:pt>
                <c:pt idx="61">
                  <c:v>2.5155E-2</c:v>
                </c:pt>
                <c:pt idx="62">
                  <c:v>2.5155E-2</c:v>
                </c:pt>
                <c:pt idx="63">
                  <c:v>2.5929999999999998E-2</c:v>
                </c:pt>
                <c:pt idx="64">
                  <c:v>2.8642999999999998E-2</c:v>
                </c:pt>
                <c:pt idx="65">
                  <c:v>2.3605000000000001E-2</c:v>
                </c:pt>
                <c:pt idx="66">
                  <c:v>2.7868E-2</c:v>
                </c:pt>
                <c:pt idx="67">
                  <c:v>2.7092999999999996E-2</c:v>
                </c:pt>
                <c:pt idx="68">
                  <c:v>2.7868E-2</c:v>
                </c:pt>
                <c:pt idx="69">
                  <c:v>2.4767000000000001E-2</c:v>
                </c:pt>
                <c:pt idx="70">
                  <c:v>2.5543E-2</c:v>
                </c:pt>
                <c:pt idx="71">
                  <c:v>2.7092999999999996E-2</c:v>
                </c:pt>
                <c:pt idx="72">
                  <c:v>2.5155E-2</c:v>
                </c:pt>
                <c:pt idx="73">
                  <c:v>2.4379999999999999E-2</c:v>
                </c:pt>
                <c:pt idx="74">
                  <c:v>2.3217000000000002E-2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5AE-4942-BD51-8D905033B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6608384"/>
        <c:axId val="1586613664"/>
      </c:lineChart>
      <c:catAx>
        <c:axId val="158660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613664"/>
        <c:crosses val="autoZero"/>
        <c:auto val="1"/>
        <c:lblAlgn val="ctr"/>
        <c:lblOffset val="100"/>
        <c:noMultiLvlLbl val="0"/>
      </c:catAx>
      <c:valAx>
        <c:axId val="158661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60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Tucker Decomposition Validation Objective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Tucker!$B$149</c:f>
              <c:strCache>
                <c:ptCount val="1"/>
                <c:pt idx="0">
                  <c:v>OCSVM n=500</c:v>
                </c:pt>
              </c:strCache>
            </c:strRef>
          </c:tx>
          <c:spPr>
            <a:ln w="28575" cap="rnd">
              <a:solidFill>
                <a:schemeClr val="accent1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Tucker!$B$150:$B$181</c:f>
              <c:numCache>
                <c:formatCode>General</c:formatCode>
                <c:ptCount val="32"/>
                <c:pt idx="0">
                  <c:v>0.36999999999999994</c:v>
                </c:pt>
                <c:pt idx="1">
                  <c:v>0.4286666666666667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31-4072-BFBC-08B7B28FEF1E}"/>
            </c:ext>
          </c:extLst>
        </c:ser>
        <c:ser>
          <c:idx val="1"/>
          <c:order val="1"/>
          <c:tx>
            <c:strRef>
              <c:f>Tucker!$C$149</c:f>
              <c:strCache>
                <c:ptCount val="1"/>
                <c:pt idx="0">
                  <c:v>AE n=500</c:v>
                </c:pt>
              </c:strCache>
            </c:strRef>
          </c:tx>
          <c:spPr>
            <a:ln w="28575" cap="rnd">
              <a:solidFill>
                <a:schemeClr val="accent1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Tucker!$C$150:$C$181</c:f>
              <c:numCache>
                <c:formatCode>General</c:formatCode>
                <c:ptCount val="32"/>
                <c:pt idx="0">
                  <c:v>0.38786370331385234</c:v>
                </c:pt>
                <c:pt idx="1">
                  <c:v>0.44915737420918128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31-4072-BFBC-08B7B28FEF1E}"/>
            </c:ext>
          </c:extLst>
        </c:ser>
        <c:ser>
          <c:idx val="2"/>
          <c:order val="2"/>
          <c:tx>
            <c:strRef>
              <c:f>Tucker!$D$149</c:f>
              <c:strCache>
                <c:ptCount val="1"/>
                <c:pt idx="0">
                  <c:v>IF n=500</c:v>
                </c:pt>
              </c:strCache>
            </c:strRef>
          </c:tx>
          <c:spPr>
            <a:ln w="28575" cap="rnd">
              <a:solidFill>
                <a:schemeClr val="accent1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Tucker!$D$150:$D$181</c:f>
              <c:numCache>
                <c:formatCode>General</c:formatCode>
                <c:ptCount val="32"/>
                <c:pt idx="0">
                  <c:v>0.24408199999999999</c:v>
                </c:pt>
                <c:pt idx="1">
                  <c:v>0.23042733333333332</c:v>
                </c:pt>
                <c:pt idx="2">
                  <c:v>0.82140400000000013</c:v>
                </c:pt>
                <c:pt idx="3">
                  <c:v>0.94774133333333344</c:v>
                </c:pt>
                <c:pt idx="4">
                  <c:v>0.53762866666666664</c:v>
                </c:pt>
                <c:pt idx="5">
                  <c:v>0.16818200000000003</c:v>
                </c:pt>
                <c:pt idx="6">
                  <c:v>0.12049499999999998</c:v>
                </c:pt>
                <c:pt idx="7">
                  <c:v>1.1257333333333334E-2</c:v>
                </c:pt>
                <c:pt idx="8">
                  <c:v>0.83095433333333324</c:v>
                </c:pt>
                <c:pt idx="9">
                  <c:v>0.97186500000000009</c:v>
                </c:pt>
                <c:pt idx="10">
                  <c:v>0.192276</c:v>
                </c:pt>
                <c:pt idx="11">
                  <c:v>1.4221000000000003E-2</c:v>
                </c:pt>
                <c:pt idx="12">
                  <c:v>8.1376666666666663E-3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5.0000000000000001E-3</c:v>
                </c:pt>
                <c:pt idx="16">
                  <c:v>0.51515866666666665</c:v>
                </c:pt>
                <c:pt idx="17">
                  <c:v>0.157665</c:v>
                </c:pt>
                <c:pt idx="18">
                  <c:v>5.5536666666666677E-3</c:v>
                </c:pt>
                <c:pt idx="19">
                  <c:v>5.0000000000000001E-3</c:v>
                </c:pt>
                <c:pt idx="20">
                  <c:v>5.0000000000000001E-3</c:v>
                </c:pt>
                <c:pt idx="21">
                  <c:v>5.0000000000000001E-3</c:v>
                </c:pt>
                <c:pt idx="22">
                  <c:v>5.0000000000000001E-3</c:v>
                </c:pt>
                <c:pt idx="23">
                  <c:v>5.0000000000000001E-3</c:v>
                </c:pt>
                <c:pt idx="24">
                  <c:v>0.12861966666666669</c:v>
                </c:pt>
                <c:pt idx="25">
                  <c:v>5.0000000000000001E-3</c:v>
                </c:pt>
                <c:pt idx="26">
                  <c:v>5.0000000000000001E-3</c:v>
                </c:pt>
                <c:pt idx="27">
                  <c:v>5.0000000000000001E-3</c:v>
                </c:pt>
                <c:pt idx="28">
                  <c:v>5.0000000000000001E-3</c:v>
                </c:pt>
                <c:pt idx="29">
                  <c:v>5.0000000000000001E-3</c:v>
                </c:pt>
                <c:pt idx="30">
                  <c:v>5.5536666666666677E-3</c:v>
                </c:pt>
                <c:pt idx="31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31-4072-BFBC-08B7B28FEF1E}"/>
            </c:ext>
          </c:extLst>
        </c:ser>
        <c:ser>
          <c:idx val="3"/>
          <c:order val="3"/>
          <c:tx>
            <c:strRef>
              <c:f>Tucker!$E$149</c:f>
              <c:strCache>
                <c:ptCount val="1"/>
                <c:pt idx="0">
                  <c:v>OCSVM n=1000</c:v>
                </c:pt>
              </c:strCache>
            </c:strRef>
          </c:tx>
          <c:spPr>
            <a:ln w="28575" cap="rnd">
              <a:solidFill>
                <a:schemeClr val="accent1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Tucker!$E$150:$E$181</c:f>
              <c:numCache>
                <c:formatCode>General</c:formatCode>
                <c:ptCount val="32"/>
                <c:pt idx="0">
                  <c:v>0.24033333333333332</c:v>
                </c:pt>
                <c:pt idx="1">
                  <c:v>0.25766666666666665</c:v>
                </c:pt>
                <c:pt idx="2">
                  <c:v>0.60933333333333339</c:v>
                </c:pt>
                <c:pt idx="3">
                  <c:v>0.70199999999999996</c:v>
                </c:pt>
                <c:pt idx="4">
                  <c:v>0.997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0.65433333333333332</c:v>
                </c:pt>
                <c:pt idx="9">
                  <c:v>0.73766666666666669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0.99799999999999989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0.99799999999999989</c:v>
                </c:pt>
                <c:pt idx="30">
                  <c:v>1</c:v>
                </c:pt>
                <c:pt idx="31">
                  <c:v>0.999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31-4072-BFBC-08B7B28FEF1E}"/>
            </c:ext>
          </c:extLst>
        </c:ser>
        <c:ser>
          <c:idx val="4"/>
          <c:order val="4"/>
          <c:tx>
            <c:strRef>
              <c:f>Tucker!$F$149</c:f>
              <c:strCache>
                <c:ptCount val="1"/>
                <c:pt idx="0">
                  <c:v>AE n=1000</c:v>
                </c:pt>
              </c:strCache>
            </c:strRef>
          </c:tx>
          <c:spPr>
            <a:ln w="28575" cap="rnd">
              <a:solidFill>
                <a:schemeClr val="accent1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Tucker!$F$150:$F$181</c:f>
              <c:numCache>
                <c:formatCode>General</c:formatCode>
                <c:ptCount val="32"/>
                <c:pt idx="0">
                  <c:v>0.27334809892949369</c:v>
                </c:pt>
                <c:pt idx="1">
                  <c:v>0.29568106312292336</c:v>
                </c:pt>
                <c:pt idx="2">
                  <c:v>0.59210040605389402</c:v>
                </c:pt>
                <c:pt idx="3">
                  <c:v>0.69804355850867428</c:v>
                </c:pt>
                <c:pt idx="4">
                  <c:v>0.99667774086378691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0.63621262458471739</c:v>
                </c:pt>
                <c:pt idx="9">
                  <c:v>0.72868217054263529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0.99778516057585798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0.99778516057585798</c:v>
                </c:pt>
                <c:pt idx="30">
                  <c:v>1</c:v>
                </c:pt>
                <c:pt idx="31">
                  <c:v>0.99889258028792904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31-4072-BFBC-08B7B28FEF1E}"/>
            </c:ext>
          </c:extLst>
        </c:ser>
        <c:ser>
          <c:idx val="5"/>
          <c:order val="5"/>
          <c:tx>
            <c:strRef>
              <c:f>Tucker!$G$149</c:f>
              <c:strCache>
                <c:ptCount val="1"/>
                <c:pt idx="0">
                  <c:v>IF n=1000</c:v>
                </c:pt>
              </c:strCache>
            </c:strRef>
          </c:tx>
          <c:spPr>
            <a:ln w="28575" cap="rnd">
              <a:solidFill>
                <a:schemeClr val="accent1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Tucker!$G$150:$G$181</c:f>
              <c:numCache>
                <c:formatCode>General</c:formatCode>
                <c:ptCount val="32"/>
                <c:pt idx="0">
                  <c:v>0.20045933333333332</c:v>
                </c:pt>
                <c:pt idx="1">
                  <c:v>0.20562766666666668</c:v>
                </c:pt>
                <c:pt idx="2">
                  <c:v>0.36731066666666673</c:v>
                </c:pt>
                <c:pt idx="3">
                  <c:v>0.41031566666666669</c:v>
                </c:pt>
                <c:pt idx="4">
                  <c:v>0.90810066666666656</c:v>
                </c:pt>
                <c:pt idx="5">
                  <c:v>0.9946640000000001</c:v>
                </c:pt>
                <c:pt idx="6">
                  <c:v>0.75841466666666679</c:v>
                </c:pt>
                <c:pt idx="7">
                  <c:v>0.60466766666666671</c:v>
                </c:pt>
                <c:pt idx="8">
                  <c:v>0.38096900000000006</c:v>
                </c:pt>
                <c:pt idx="9">
                  <c:v>0.50979866666666662</c:v>
                </c:pt>
                <c:pt idx="10">
                  <c:v>0.87543199999999999</c:v>
                </c:pt>
                <c:pt idx="11">
                  <c:v>0.67406633333333332</c:v>
                </c:pt>
                <c:pt idx="12">
                  <c:v>0.18458666666666668</c:v>
                </c:pt>
                <c:pt idx="13">
                  <c:v>1.7365999999999999E-2</c:v>
                </c:pt>
                <c:pt idx="14">
                  <c:v>3.3977666666666663E-2</c:v>
                </c:pt>
                <c:pt idx="15">
                  <c:v>5.0000000000000001E-3</c:v>
                </c:pt>
                <c:pt idx="16">
                  <c:v>0.89056666666666662</c:v>
                </c:pt>
                <c:pt idx="17">
                  <c:v>0.98968066666666665</c:v>
                </c:pt>
                <c:pt idx="18">
                  <c:v>7.9012666666666675E-2</c:v>
                </c:pt>
                <c:pt idx="19">
                  <c:v>7.3993333333333333E-3</c:v>
                </c:pt>
                <c:pt idx="20">
                  <c:v>5.0000000000000001E-3</c:v>
                </c:pt>
                <c:pt idx="21">
                  <c:v>5.0000000000000001E-3</c:v>
                </c:pt>
                <c:pt idx="22">
                  <c:v>5.0000000000000001E-3</c:v>
                </c:pt>
                <c:pt idx="23">
                  <c:v>5.0000000000000001E-3</c:v>
                </c:pt>
                <c:pt idx="24">
                  <c:v>0.67646566666666674</c:v>
                </c:pt>
                <c:pt idx="25">
                  <c:v>0.37469366666666665</c:v>
                </c:pt>
                <c:pt idx="26">
                  <c:v>5.0000000000000001E-3</c:v>
                </c:pt>
                <c:pt idx="27">
                  <c:v>5.0000000000000001E-3</c:v>
                </c:pt>
                <c:pt idx="28">
                  <c:v>5.0000000000000001E-3</c:v>
                </c:pt>
                <c:pt idx="29">
                  <c:v>5.0000000000000001E-3</c:v>
                </c:pt>
                <c:pt idx="30">
                  <c:v>3.6930666666666667E-2</c:v>
                </c:pt>
                <c:pt idx="31">
                  <c:v>5.5536666666666677E-3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31-4072-BFBC-08B7B28FEF1E}"/>
            </c:ext>
          </c:extLst>
        </c:ser>
        <c:ser>
          <c:idx val="6"/>
          <c:order val="6"/>
          <c:tx>
            <c:strRef>
              <c:f>Tucker!$H$149</c:f>
              <c:strCache>
                <c:ptCount val="1"/>
                <c:pt idx="0">
                  <c:v>OCSVM n=1500</c:v>
                </c:pt>
              </c:strCache>
            </c:strRef>
          </c:tx>
          <c:spPr>
            <a:ln w="28575" cap="rnd">
              <a:solidFill>
                <a:schemeClr val="accent1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Tucker!$H$150:$H$181</c:f>
              <c:numCache>
                <c:formatCode>General</c:formatCode>
                <c:ptCount val="32"/>
                <c:pt idx="0">
                  <c:v>0.18366666666666664</c:v>
                </c:pt>
                <c:pt idx="1">
                  <c:v>0.19499999999999998</c:v>
                </c:pt>
                <c:pt idx="2">
                  <c:v>0.29333333333333328</c:v>
                </c:pt>
                <c:pt idx="3">
                  <c:v>0.3753333333333333</c:v>
                </c:pt>
                <c:pt idx="4">
                  <c:v>0.79966666666666664</c:v>
                </c:pt>
                <c:pt idx="5">
                  <c:v>0.98233333333333339</c:v>
                </c:pt>
                <c:pt idx="6">
                  <c:v>1</c:v>
                </c:pt>
                <c:pt idx="7">
                  <c:v>1</c:v>
                </c:pt>
                <c:pt idx="8">
                  <c:v>0.29233333333333333</c:v>
                </c:pt>
                <c:pt idx="9">
                  <c:v>0.41066666666666668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0.78200000000000003</c:v>
                </c:pt>
                <c:pt idx="17">
                  <c:v>0.97866666666666668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31-4072-BFBC-08B7B28FEF1E}"/>
            </c:ext>
          </c:extLst>
        </c:ser>
        <c:ser>
          <c:idx val="7"/>
          <c:order val="7"/>
          <c:tx>
            <c:strRef>
              <c:f>Tucker!$I$149</c:f>
              <c:strCache>
                <c:ptCount val="1"/>
                <c:pt idx="0">
                  <c:v>AE n=1500</c:v>
                </c:pt>
              </c:strCache>
            </c:strRef>
          </c:tx>
          <c:spPr>
            <a:ln w="28575" cap="rnd">
              <a:solidFill>
                <a:schemeClr val="accent1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Tucker!$I$150:$I$181</c:f>
              <c:numCache>
                <c:formatCode>General</c:formatCode>
                <c:ptCount val="32"/>
                <c:pt idx="0">
                  <c:v>0.21908453303802067</c:v>
                </c:pt>
                <c:pt idx="1">
                  <c:v>0.22997416020671799</c:v>
                </c:pt>
                <c:pt idx="2">
                  <c:v>0.307678110003691</c:v>
                </c:pt>
                <c:pt idx="3">
                  <c:v>0.37559985234403803</c:v>
                </c:pt>
                <c:pt idx="4">
                  <c:v>0.77113325950535205</c:v>
                </c:pt>
                <c:pt idx="5">
                  <c:v>0.97231450719822765</c:v>
                </c:pt>
                <c:pt idx="6">
                  <c:v>1</c:v>
                </c:pt>
                <c:pt idx="7">
                  <c:v>1</c:v>
                </c:pt>
                <c:pt idx="8">
                  <c:v>0.31395348837209269</c:v>
                </c:pt>
                <c:pt idx="9">
                  <c:v>0.40402362495385696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0.76633444075304491</c:v>
                </c:pt>
                <c:pt idx="17">
                  <c:v>0.97452934662236901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831-4072-BFBC-08B7B28FEF1E}"/>
            </c:ext>
          </c:extLst>
        </c:ser>
        <c:ser>
          <c:idx val="8"/>
          <c:order val="8"/>
          <c:tx>
            <c:strRef>
              <c:f>Tucker!$J$149</c:f>
              <c:strCache>
                <c:ptCount val="1"/>
                <c:pt idx="0">
                  <c:v>IF n=1500</c:v>
                </c:pt>
              </c:strCache>
            </c:strRef>
          </c:tx>
          <c:spPr>
            <a:ln w="28575" cap="rnd">
              <a:solidFill>
                <a:schemeClr val="accent1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Tucker!$J$150:$J$181</c:f>
              <c:numCache>
                <c:formatCode>General</c:formatCode>
                <c:ptCount val="32"/>
                <c:pt idx="0">
                  <c:v>0.15911600000000001</c:v>
                </c:pt>
                <c:pt idx="1">
                  <c:v>0.16428366666666669</c:v>
                </c:pt>
                <c:pt idx="2">
                  <c:v>0.19916766666666666</c:v>
                </c:pt>
                <c:pt idx="3">
                  <c:v>0.22759133333333334</c:v>
                </c:pt>
                <c:pt idx="4">
                  <c:v>0.46125700000000003</c:v>
                </c:pt>
                <c:pt idx="5">
                  <c:v>0.65154866666666666</c:v>
                </c:pt>
                <c:pt idx="6">
                  <c:v>0.98248233333333335</c:v>
                </c:pt>
                <c:pt idx="7">
                  <c:v>0.82375199999999993</c:v>
                </c:pt>
                <c:pt idx="8">
                  <c:v>0.208396</c:v>
                </c:pt>
                <c:pt idx="9">
                  <c:v>0.23718866666666663</c:v>
                </c:pt>
                <c:pt idx="10">
                  <c:v>0.89961066666666678</c:v>
                </c:pt>
                <c:pt idx="11">
                  <c:v>0.98912699999999998</c:v>
                </c:pt>
                <c:pt idx="12">
                  <c:v>0.40699333333333332</c:v>
                </c:pt>
                <c:pt idx="13">
                  <c:v>0.11057399999999999</c:v>
                </c:pt>
                <c:pt idx="14">
                  <c:v>5.6494666666666665E-2</c:v>
                </c:pt>
                <c:pt idx="15">
                  <c:v>8.3223333333333326E-3</c:v>
                </c:pt>
                <c:pt idx="16">
                  <c:v>0.44741399999999998</c:v>
                </c:pt>
                <c:pt idx="17">
                  <c:v>0.65450166666666665</c:v>
                </c:pt>
                <c:pt idx="18">
                  <c:v>0.32209133333333329</c:v>
                </c:pt>
                <c:pt idx="19">
                  <c:v>3.5454000000000006E-2</c:v>
                </c:pt>
                <c:pt idx="20">
                  <c:v>6.4763333333333339E-3</c:v>
                </c:pt>
                <c:pt idx="21">
                  <c:v>5.0000000000000001E-3</c:v>
                </c:pt>
                <c:pt idx="22">
                  <c:v>7.3996666666666664E-3</c:v>
                </c:pt>
                <c:pt idx="23">
                  <c:v>5.0000000000000001E-3</c:v>
                </c:pt>
                <c:pt idx="24">
                  <c:v>0.9415079999999999</c:v>
                </c:pt>
                <c:pt idx="25">
                  <c:v>0.79514366666666658</c:v>
                </c:pt>
                <c:pt idx="26">
                  <c:v>6.8456666666666666E-3</c:v>
                </c:pt>
                <c:pt idx="27">
                  <c:v>5.0000000000000001E-3</c:v>
                </c:pt>
                <c:pt idx="28">
                  <c:v>5.0000000000000001E-3</c:v>
                </c:pt>
                <c:pt idx="29">
                  <c:v>5.0000000000000001E-3</c:v>
                </c:pt>
                <c:pt idx="30">
                  <c:v>1.1460333333333335E-2</c:v>
                </c:pt>
                <c:pt idx="31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31-4072-BFBC-08B7B28FEF1E}"/>
            </c:ext>
          </c:extLst>
        </c:ser>
        <c:ser>
          <c:idx val="9"/>
          <c:order val="9"/>
          <c:tx>
            <c:strRef>
              <c:f>Tucker!$K$149</c:f>
              <c:strCache>
                <c:ptCount val="1"/>
                <c:pt idx="0">
                  <c:v>OCSVM n=3000</c:v>
                </c:pt>
              </c:strCache>
            </c:strRef>
          </c:tx>
          <c:spPr>
            <a:ln w="28575" cap="rnd">
              <a:solidFill>
                <a:schemeClr val="accent1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Tucker!$K$150:$K$181</c:f>
              <c:numCache>
                <c:formatCode>General</c:formatCode>
                <c:ptCount val="32"/>
                <c:pt idx="0">
                  <c:v>0.153</c:v>
                </c:pt>
                <c:pt idx="1">
                  <c:v>0.14699999999999999</c:v>
                </c:pt>
                <c:pt idx="2">
                  <c:v>0.16300000000000001</c:v>
                </c:pt>
                <c:pt idx="3">
                  <c:v>0.18800000000000003</c:v>
                </c:pt>
                <c:pt idx="4">
                  <c:v>0.128</c:v>
                </c:pt>
                <c:pt idx="5">
                  <c:v>0.309</c:v>
                </c:pt>
                <c:pt idx="6">
                  <c:v>0.46300000000000002</c:v>
                </c:pt>
                <c:pt idx="7">
                  <c:v>0.92800000000000005</c:v>
                </c:pt>
                <c:pt idx="8">
                  <c:v>0.158</c:v>
                </c:pt>
                <c:pt idx="9">
                  <c:v>0.18800000000000003</c:v>
                </c:pt>
                <c:pt idx="10">
                  <c:v>0.61199999999999999</c:v>
                </c:pt>
                <c:pt idx="11">
                  <c:v>0.749</c:v>
                </c:pt>
                <c:pt idx="12">
                  <c:v>0.99799999999999989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0.13500000000000001</c:v>
                </c:pt>
                <c:pt idx="17">
                  <c:v>0.27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0.42799999999999999</c:v>
                </c:pt>
                <c:pt idx="25">
                  <c:v>0.98799999999999999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831-4072-BFBC-08B7B28FEF1E}"/>
            </c:ext>
          </c:extLst>
        </c:ser>
        <c:ser>
          <c:idx val="10"/>
          <c:order val="10"/>
          <c:tx>
            <c:strRef>
              <c:f>Tucker!$L$149</c:f>
              <c:strCache>
                <c:ptCount val="1"/>
                <c:pt idx="0">
                  <c:v>AE n=3000</c:v>
                </c:pt>
              </c:strCache>
            </c:strRef>
          </c:tx>
          <c:spPr>
            <a:ln w="28575" cap="rnd">
              <a:solidFill>
                <a:schemeClr val="accent1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Tucker!$L$150:$L$181</c:f>
              <c:numCache>
                <c:formatCode>General</c:formatCode>
                <c:ptCount val="32"/>
                <c:pt idx="0">
                  <c:v>0.22235142118862963</c:v>
                </c:pt>
                <c:pt idx="1">
                  <c:v>0.22403100775193732</c:v>
                </c:pt>
                <c:pt idx="2">
                  <c:v>0.20155038759689867</c:v>
                </c:pt>
                <c:pt idx="3">
                  <c:v>0.218992248062015</c:v>
                </c:pt>
                <c:pt idx="4">
                  <c:v>0.16886304909560668</c:v>
                </c:pt>
                <c:pt idx="5">
                  <c:v>0.35271317829457294</c:v>
                </c:pt>
                <c:pt idx="6">
                  <c:v>0.45981912144702836</c:v>
                </c:pt>
                <c:pt idx="7">
                  <c:v>0.92428940568475404</c:v>
                </c:pt>
                <c:pt idx="8">
                  <c:v>0.214728682170542</c:v>
                </c:pt>
                <c:pt idx="9">
                  <c:v>0.22777777777777733</c:v>
                </c:pt>
                <c:pt idx="10">
                  <c:v>0.61395348837209263</c:v>
                </c:pt>
                <c:pt idx="11">
                  <c:v>0.75051679586563269</c:v>
                </c:pt>
                <c:pt idx="12">
                  <c:v>0.997674418604651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0.17674418604651099</c:v>
                </c:pt>
                <c:pt idx="17">
                  <c:v>0.30620155038759633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0.43062015503875939</c:v>
                </c:pt>
                <c:pt idx="25">
                  <c:v>0.98565891472868195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831-4072-BFBC-08B7B28FEF1E}"/>
            </c:ext>
          </c:extLst>
        </c:ser>
        <c:ser>
          <c:idx val="11"/>
          <c:order val="11"/>
          <c:tx>
            <c:strRef>
              <c:f>Tucker!$M$149</c:f>
              <c:strCache>
                <c:ptCount val="1"/>
                <c:pt idx="0">
                  <c:v>IF n=3000</c:v>
                </c:pt>
              </c:strCache>
            </c:strRef>
          </c:tx>
          <c:spPr>
            <a:ln w="28575" cap="rnd">
              <a:solidFill>
                <a:schemeClr val="accent1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Tucker!$M$150:$M$181</c:f>
              <c:numCache>
                <c:formatCode>General</c:formatCode>
                <c:ptCount val="32"/>
                <c:pt idx="0">
                  <c:v>0.165465</c:v>
                </c:pt>
                <c:pt idx="1">
                  <c:v>0.16236400000000001</c:v>
                </c:pt>
                <c:pt idx="2">
                  <c:v>0.16701599999999997</c:v>
                </c:pt>
                <c:pt idx="3">
                  <c:v>0.165853</c:v>
                </c:pt>
                <c:pt idx="4">
                  <c:v>0.15189900000000001</c:v>
                </c:pt>
                <c:pt idx="5">
                  <c:v>0.25345000000000001</c:v>
                </c:pt>
                <c:pt idx="6">
                  <c:v>0.35693799999999998</c:v>
                </c:pt>
                <c:pt idx="7">
                  <c:v>0.76856599999999997</c:v>
                </c:pt>
                <c:pt idx="8">
                  <c:v>0.17050399999999999</c:v>
                </c:pt>
                <c:pt idx="9">
                  <c:v>0.15887599999999999</c:v>
                </c:pt>
                <c:pt idx="10">
                  <c:v>0.48755799999999999</c:v>
                </c:pt>
                <c:pt idx="11">
                  <c:v>0.61546500000000004</c:v>
                </c:pt>
                <c:pt idx="12">
                  <c:v>0.93174400000000002</c:v>
                </c:pt>
                <c:pt idx="13">
                  <c:v>0.99957399999999996</c:v>
                </c:pt>
                <c:pt idx="14">
                  <c:v>0.427481</c:v>
                </c:pt>
                <c:pt idx="15">
                  <c:v>9.9961000000000008E-2</c:v>
                </c:pt>
                <c:pt idx="16">
                  <c:v>0.17089099999999999</c:v>
                </c:pt>
                <c:pt idx="17">
                  <c:v>0.23910899999999999</c:v>
                </c:pt>
                <c:pt idx="18">
                  <c:v>0.92437999999999987</c:v>
                </c:pt>
                <c:pt idx="19">
                  <c:v>0.99569799999999997</c:v>
                </c:pt>
                <c:pt idx="20">
                  <c:v>0.24879799999999999</c:v>
                </c:pt>
                <c:pt idx="21">
                  <c:v>5.8100999999999993E-2</c:v>
                </c:pt>
                <c:pt idx="22">
                  <c:v>1.0038999999999999E-2</c:v>
                </c:pt>
                <c:pt idx="23">
                  <c:v>5.0000000000000001E-3</c:v>
                </c:pt>
                <c:pt idx="24">
                  <c:v>0.34531000000000001</c:v>
                </c:pt>
                <c:pt idx="25">
                  <c:v>0.80810100000000007</c:v>
                </c:pt>
                <c:pt idx="26">
                  <c:v>0.24686</c:v>
                </c:pt>
                <c:pt idx="27">
                  <c:v>4.0659000000000001E-2</c:v>
                </c:pt>
                <c:pt idx="28">
                  <c:v>5.7749999999999998E-3</c:v>
                </c:pt>
                <c:pt idx="29">
                  <c:v>5.0000000000000001E-3</c:v>
                </c:pt>
                <c:pt idx="30">
                  <c:v>6.1629999999999992E-3</c:v>
                </c:pt>
                <c:pt idx="31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831-4072-BFBC-08B7B28FE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705919"/>
        <c:axId val="1139708799"/>
      </c:lineChart>
      <c:catAx>
        <c:axId val="113970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708799"/>
        <c:crosses val="autoZero"/>
        <c:auto val="1"/>
        <c:lblAlgn val="ctr"/>
        <c:lblOffset val="100"/>
        <c:noMultiLvlLbl val="0"/>
      </c:catAx>
      <c:valAx>
        <c:axId val="113970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70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Tucker</a:t>
            </a:r>
            <a:r>
              <a:rPr lang="en-US" baseline="0"/>
              <a:t> Decomposition Validation Objective for OCSVM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Tucker!$B$149</c:f>
              <c:strCache>
                <c:ptCount val="1"/>
                <c:pt idx="0">
                  <c:v>OCSVM n=500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Tucker!$B$150:$B$181</c:f>
              <c:numCache>
                <c:formatCode>General</c:formatCode>
                <c:ptCount val="32"/>
                <c:pt idx="0">
                  <c:v>0.36999999999999994</c:v>
                </c:pt>
                <c:pt idx="1">
                  <c:v>0.4286666666666667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32-4BBD-9518-771DC583DD06}"/>
            </c:ext>
          </c:extLst>
        </c:ser>
        <c:ser>
          <c:idx val="1"/>
          <c:order val="1"/>
          <c:tx>
            <c:strRef>
              <c:f>Tucker!$E$149</c:f>
              <c:strCache>
                <c:ptCount val="1"/>
                <c:pt idx="0">
                  <c:v>OCSVM n=1000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Tucker!$E$150:$E$181</c:f>
              <c:numCache>
                <c:formatCode>General</c:formatCode>
                <c:ptCount val="32"/>
                <c:pt idx="0">
                  <c:v>0.24033333333333332</c:v>
                </c:pt>
                <c:pt idx="1">
                  <c:v>0.25766666666666665</c:v>
                </c:pt>
                <c:pt idx="2">
                  <c:v>0.60933333333333339</c:v>
                </c:pt>
                <c:pt idx="3">
                  <c:v>0.70199999999999996</c:v>
                </c:pt>
                <c:pt idx="4">
                  <c:v>0.997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0.65433333333333332</c:v>
                </c:pt>
                <c:pt idx="9">
                  <c:v>0.73766666666666669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0.99799999999999989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0.99799999999999989</c:v>
                </c:pt>
                <c:pt idx="30">
                  <c:v>1</c:v>
                </c:pt>
                <c:pt idx="31">
                  <c:v>0.999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32-4BBD-9518-771DC583DD06}"/>
            </c:ext>
          </c:extLst>
        </c:ser>
        <c:ser>
          <c:idx val="2"/>
          <c:order val="2"/>
          <c:tx>
            <c:strRef>
              <c:f>Tucker!$H$149</c:f>
              <c:strCache>
                <c:ptCount val="1"/>
                <c:pt idx="0">
                  <c:v>OCSVM n=1500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Tucker!$H$150:$H$181</c:f>
              <c:numCache>
                <c:formatCode>General</c:formatCode>
                <c:ptCount val="32"/>
                <c:pt idx="0">
                  <c:v>0.18366666666666664</c:v>
                </c:pt>
                <c:pt idx="1">
                  <c:v>0.19499999999999998</c:v>
                </c:pt>
                <c:pt idx="2">
                  <c:v>0.29333333333333328</c:v>
                </c:pt>
                <c:pt idx="3">
                  <c:v>0.3753333333333333</c:v>
                </c:pt>
                <c:pt idx="4">
                  <c:v>0.79966666666666664</c:v>
                </c:pt>
                <c:pt idx="5">
                  <c:v>0.98233333333333339</c:v>
                </c:pt>
                <c:pt idx="6">
                  <c:v>1</c:v>
                </c:pt>
                <c:pt idx="7">
                  <c:v>1</c:v>
                </c:pt>
                <c:pt idx="8">
                  <c:v>0.29233333333333333</c:v>
                </c:pt>
                <c:pt idx="9">
                  <c:v>0.41066666666666668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0.78200000000000003</c:v>
                </c:pt>
                <c:pt idx="17">
                  <c:v>0.97866666666666668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32-4BBD-9518-771DC583DD06}"/>
            </c:ext>
          </c:extLst>
        </c:ser>
        <c:ser>
          <c:idx val="3"/>
          <c:order val="3"/>
          <c:tx>
            <c:strRef>
              <c:f>Tucker!$K$149</c:f>
              <c:strCache>
                <c:ptCount val="1"/>
                <c:pt idx="0">
                  <c:v>OCSVM n=3000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Tucker!$K$150:$K$181</c:f>
              <c:numCache>
                <c:formatCode>General</c:formatCode>
                <c:ptCount val="32"/>
                <c:pt idx="0">
                  <c:v>0.153</c:v>
                </c:pt>
                <c:pt idx="1">
                  <c:v>0.14699999999999999</c:v>
                </c:pt>
                <c:pt idx="2">
                  <c:v>0.16300000000000001</c:v>
                </c:pt>
                <c:pt idx="3">
                  <c:v>0.18800000000000003</c:v>
                </c:pt>
                <c:pt idx="4">
                  <c:v>0.128</c:v>
                </c:pt>
                <c:pt idx="5">
                  <c:v>0.309</c:v>
                </c:pt>
                <c:pt idx="6">
                  <c:v>0.46300000000000002</c:v>
                </c:pt>
                <c:pt idx="7">
                  <c:v>0.92800000000000005</c:v>
                </c:pt>
                <c:pt idx="8">
                  <c:v>0.158</c:v>
                </c:pt>
                <c:pt idx="9">
                  <c:v>0.18800000000000003</c:v>
                </c:pt>
                <c:pt idx="10">
                  <c:v>0.61199999999999999</c:v>
                </c:pt>
                <c:pt idx="11">
                  <c:v>0.749</c:v>
                </c:pt>
                <c:pt idx="12">
                  <c:v>0.99799999999999989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0.13500000000000001</c:v>
                </c:pt>
                <c:pt idx="17">
                  <c:v>0.27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0.42799999999999999</c:v>
                </c:pt>
                <c:pt idx="25">
                  <c:v>0.98799999999999999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32-4BBD-9518-771DC583D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706671"/>
        <c:axId val="1450707631"/>
      </c:lineChart>
      <c:catAx>
        <c:axId val="145070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707631"/>
        <c:crosses val="autoZero"/>
        <c:auto val="1"/>
        <c:lblAlgn val="ctr"/>
        <c:lblOffset val="100"/>
        <c:noMultiLvlLbl val="0"/>
      </c:catAx>
      <c:valAx>
        <c:axId val="145070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70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Tucker Decomposition Validation Objective for Autoencoders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Tucker!$C$149</c:f>
              <c:strCache>
                <c:ptCount val="1"/>
                <c:pt idx="0">
                  <c:v>AE n=500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Tucker!$C$150:$C$181</c:f>
              <c:numCache>
                <c:formatCode>General</c:formatCode>
                <c:ptCount val="32"/>
                <c:pt idx="0">
                  <c:v>0.38786370331385234</c:v>
                </c:pt>
                <c:pt idx="1">
                  <c:v>0.44915737420918128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A6-4366-84B7-0E019D096335}"/>
            </c:ext>
          </c:extLst>
        </c:ser>
        <c:ser>
          <c:idx val="1"/>
          <c:order val="1"/>
          <c:tx>
            <c:strRef>
              <c:f>Tucker!$F$149</c:f>
              <c:strCache>
                <c:ptCount val="1"/>
                <c:pt idx="0">
                  <c:v>AE n=1000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Tucker!$F$150:$F$181</c:f>
              <c:numCache>
                <c:formatCode>General</c:formatCode>
                <c:ptCount val="32"/>
                <c:pt idx="0">
                  <c:v>0.27334809892949369</c:v>
                </c:pt>
                <c:pt idx="1">
                  <c:v>0.29568106312292336</c:v>
                </c:pt>
                <c:pt idx="2">
                  <c:v>0.59210040605389402</c:v>
                </c:pt>
                <c:pt idx="3">
                  <c:v>0.69804355850867428</c:v>
                </c:pt>
                <c:pt idx="4">
                  <c:v>0.99667774086378691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0.63621262458471739</c:v>
                </c:pt>
                <c:pt idx="9">
                  <c:v>0.72868217054263529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0.99778516057585798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0.99778516057585798</c:v>
                </c:pt>
                <c:pt idx="30">
                  <c:v>1</c:v>
                </c:pt>
                <c:pt idx="31">
                  <c:v>0.99889258028792904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A6-4366-84B7-0E019D096335}"/>
            </c:ext>
          </c:extLst>
        </c:ser>
        <c:ser>
          <c:idx val="2"/>
          <c:order val="2"/>
          <c:tx>
            <c:strRef>
              <c:f>Tucker!$I$149</c:f>
              <c:strCache>
                <c:ptCount val="1"/>
                <c:pt idx="0">
                  <c:v>AE n=1500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Tucker!$I$150:$I$181</c:f>
              <c:numCache>
                <c:formatCode>General</c:formatCode>
                <c:ptCount val="32"/>
                <c:pt idx="0">
                  <c:v>0.21908453303802067</c:v>
                </c:pt>
                <c:pt idx="1">
                  <c:v>0.22997416020671799</c:v>
                </c:pt>
                <c:pt idx="2">
                  <c:v>0.307678110003691</c:v>
                </c:pt>
                <c:pt idx="3">
                  <c:v>0.37559985234403803</c:v>
                </c:pt>
                <c:pt idx="4">
                  <c:v>0.77113325950535205</c:v>
                </c:pt>
                <c:pt idx="5">
                  <c:v>0.97231450719822765</c:v>
                </c:pt>
                <c:pt idx="6">
                  <c:v>1</c:v>
                </c:pt>
                <c:pt idx="7">
                  <c:v>1</c:v>
                </c:pt>
                <c:pt idx="8">
                  <c:v>0.31395348837209269</c:v>
                </c:pt>
                <c:pt idx="9">
                  <c:v>0.40402362495385696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0.76633444075304491</c:v>
                </c:pt>
                <c:pt idx="17">
                  <c:v>0.97452934662236901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A6-4366-84B7-0E019D096335}"/>
            </c:ext>
          </c:extLst>
        </c:ser>
        <c:ser>
          <c:idx val="3"/>
          <c:order val="3"/>
          <c:tx>
            <c:strRef>
              <c:f>Tucker!$L$149</c:f>
              <c:strCache>
                <c:ptCount val="1"/>
                <c:pt idx="0">
                  <c:v>AE n=3000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Tucker!$L$150:$L$181</c:f>
              <c:numCache>
                <c:formatCode>General</c:formatCode>
                <c:ptCount val="32"/>
                <c:pt idx="0">
                  <c:v>0.22235142118862963</c:v>
                </c:pt>
                <c:pt idx="1">
                  <c:v>0.22403100775193732</c:v>
                </c:pt>
                <c:pt idx="2">
                  <c:v>0.20155038759689867</c:v>
                </c:pt>
                <c:pt idx="3">
                  <c:v>0.218992248062015</c:v>
                </c:pt>
                <c:pt idx="4">
                  <c:v>0.16886304909560668</c:v>
                </c:pt>
                <c:pt idx="5">
                  <c:v>0.35271317829457294</c:v>
                </c:pt>
                <c:pt idx="6">
                  <c:v>0.45981912144702836</c:v>
                </c:pt>
                <c:pt idx="7">
                  <c:v>0.92428940568475404</c:v>
                </c:pt>
                <c:pt idx="8">
                  <c:v>0.214728682170542</c:v>
                </c:pt>
                <c:pt idx="9">
                  <c:v>0.22777777777777733</c:v>
                </c:pt>
                <c:pt idx="10">
                  <c:v>0.61395348837209263</c:v>
                </c:pt>
                <c:pt idx="11">
                  <c:v>0.75051679586563269</c:v>
                </c:pt>
                <c:pt idx="12">
                  <c:v>0.997674418604651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0.17674418604651099</c:v>
                </c:pt>
                <c:pt idx="17">
                  <c:v>0.30620155038759633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0.43062015503875939</c:v>
                </c:pt>
                <c:pt idx="25">
                  <c:v>0.98565891472868195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A6-4366-84B7-0E019D096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726768"/>
        <c:axId val="792725328"/>
      </c:lineChart>
      <c:catAx>
        <c:axId val="79272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25328"/>
        <c:crosses val="autoZero"/>
        <c:auto val="1"/>
        <c:lblAlgn val="ctr"/>
        <c:lblOffset val="100"/>
        <c:noMultiLvlLbl val="0"/>
      </c:catAx>
      <c:valAx>
        <c:axId val="79272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2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Tucker Decomposition Validation Objective for Isolation Forests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Tucker!$D$149</c:f>
              <c:strCache>
                <c:ptCount val="1"/>
                <c:pt idx="0">
                  <c:v>IF n=500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Tucker!$D$150:$D$181</c:f>
              <c:numCache>
                <c:formatCode>General</c:formatCode>
                <c:ptCount val="32"/>
                <c:pt idx="0">
                  <c:v>0.24408199999999999</c:v>
                </c:pt>
                <c:pt idx="1">
                  <c:v>0.23042733333333332</c:v>
                </c:pt>
                <c:pt idx="2">
                  <c:v>0.82140400000000013</c:v>
                </c:pt>
                <c:pt idx="3">
                  <c:v>0.94774133333333344</c:v>
                </c:pt>
                <c:pt idx="4">
                  <c:v>0.53762866666666664</c:v>
                </c:pt>
                <c:pt idx="5">
                  <c:v>0.16818200000000003</c:v>
                </c:pt>
                <c:pt idx="6">
                  <c:v>0.12049499999999998</c:v>
                </c:pt>
                <c:pt idx="7">
                  <c:v>1.1257333333333334E-2</c:v>
                </c:pt>
                <c:pt idx="8">
                  <c:v>0.83095433333333324</c:v>
                </c:pt>
                <c:pt idx="9">
                  <c:v>0.97186500000000009</c:v>
                </c:pt>
                <c:pt idx="10">
                  <c:v>0.192276</c:v>
                </c:pt>
                <c:pt idx="11">
                  <c:v>1.4221000000000003E-2</c:v>
                </c:pt>
                <c:pt idx="12">
                  <c:v>8.1376666666666663E-3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5.0000000000000001E-3</c:v>
                </c:pt>
                <c:pt idx="16">
                  <c:v>0.51515866666666665</c:v>
                </c:pt>
                <c:pt idx="17">
                  <c:v>0.157665</c:v>
                </c:pt>
                <c:pt idx="18">
                  <c:v>5.5536666666666677E-3</c:v>
                </c:pt>
                <c:pt idx="19">
                  <c:v>5.0000000000000001E-3</c:v>
                </c:pt>
                <c:pt idx="20">
                  <c:v>5.0000000000000001E-3</c:v>
                </c:pt>
                <c:pt idx="21">
                  <c:v>5.0000000000000001E-3</c:v>
                </c:pt>
                <c:pt idx="22">
                  <c:v>5.0000000000000001E-3</c:v>
                </c:pt>
                <c:pt idx="23">
                  <c:v>5.0000000000000001E-3</c:v>
                </c:pt>
                <c:pt idx="24">
                  <c:v>0.12861966666666669</c:v>
                </c:pt>
                <c:pt idx="25">
                  <c:v>5.0000000000000001E-3</c:v>
                </c:pt>
                <c:pt idx="26">
                  <c:v>5.0000000000000001E-3</c:v>
                </c:pt>
                <c:pt idx="27">
                  <c:v>5.0000000000000001E-3</c:v>
                </c:pt>
                <c:pt idx="28">
                  <c:v>5.0000000000000001E-3</c:v>
                </c:pt>
                <c:pt idx="29">
                  <c:v>5.0000000000000001E-3</c:v>
                </c:pt>
                <c:pt idx="30">
                  <c:v>5.5536666666666677E-3</c:v>
                </c:pt>
                <c:pt idx="31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E3-49DC-BD65-CA92719AF94E}"/>
            </c:ext>
          </c:extLst>
        </c:ser>
        <c:ser>
          <c:idx val="1"/>
          <c:order val="1"/>
          <c:tx>
            <c:strRef>
              <c:f>Tucker!$G$149</c:f>
              <c:strCache>
                <c:ptCount val="1"/>
                <c:pt idx="0">
                  <c:v>IF n=1000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Tucker!$G$150:$G$181</c:f>
              <c:numCache>
                <c:formatCode>General</c:formatCode>
                <c:ptCount val="32"/>
                <c:pt idx="0">
                  <c:v>0.20045933333333332</c:v>
                </c:pt>
                <c:pt idx="1">
                  <c:v>0.20562766666666668</c:v>
                </c:pt>
                <c:pt idx="2">
                  <c:v>0.36731066666666673</c:v>
                </c:pt>
                <c:pt idx="3">
                  <c:v>0.41031566666666669</c:v>
                </c:pt>
                <c:pt idx="4">
                  <c:v>0.90810066666666656</c:v>
                </c:pt>
                <c:pt idx="5">
                  <c:v>0.9946640000000001</c:v>
                </c:pt>
                <c:pt idx="6">
                  <c:v>0.75841466666666679</c:v>
                </c:pt>
                <c:pt idx="7">
                  <c:v>0.60466766666666671</c:v>
                </c:pt>
                <c:pt idx="8">
                  <c:v>0.38096900000000006</c:v>
                </c:pt>
                <c:pt idx="9">
                  <c:v>0.50979866666666662</c:v>
                </c:pt>
                <c:pt idx="10">
                  <c:v>0.87543199999999999</c:v>
                </c:pt>
                <c:pt idx="11">
                  <c:v>0.67406633333333332</c:v>
                </c:pt>
                <c:pt idx="12">
                  <c:v>0.18458666666666668</c:v>
                </c:pt>
                <c:pt idx="13">
                  <c:v>1.7365999999999999E-2</c:v>
                </c:pt>
                <c:pt idx="14">
                  <c:v>3.3977666666666663E-2</c:v>
                </c:pt>
                <c:pt idx="15">
                  <c:v>5.0000000000000001E-3</c:v>
                </c:pt>
                <c:pt idx="16">
                  <c:v>0.89056666666666662</c:v>
                </c:pt>
                <c:pt idx="17">
                  <c:v>0.98968066666666665</c:v>
                </c:pt>
                <c:pt idx="18">
                  <c:v>7.9012666666666675E-2</c:v>
                </c:pt>
                <c:pt idx="19">
                  <c:v>7.3993333333333333E-3</c:v>
                </c:pt>
                <c:pt idx="20">
                  <c:v>5.0000000000000001E-3</c:v>
                </c:pt>
                <c:pt idx="21">
                  <c:v>5.0000000000000001E-3</c:v>
                </c:pt>
                <c:pt idx="22">
                  <c:v>5.0000000000000001E-3</c:v>
                </c:pt>
                <c:pt idx="23">
                  <c:v>5.0000000000000001E-3</c:v>
                </c:pt>
                <c:pt idx="24">
                  <c:v>0.67646566666666674</c:v>
                </c:pt>
                <c:pt idx="25">
                  <c:v>0.37469366666666665</c:v>
                </c:pt>
                <c:pt idx="26">
                  <c:v>5.0000000000000001E-3</c:v>
                </c:pt>
                <c:pt idx="27">
                  <c:v>5.0000000000000001E-3</c:v>
                </c:pt>
                <c:pt idx="28">
                  <c:v>5.0000000000000001E-3</c:v>
                </c:pt>
                <c:pt idx="29">
                  <c:v>5.0000000000000001E-3</c:v>
                </c:pt>
                <c:pt idx="30">
                  <c:v>3.6930666666666667E-2</c:v>
                </c:pt>
                <c:pt idx="31">
                  <c:v>5.5536666666666677E-3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E3-49DC-BD65-CA92719AF94E}"/>
            </c:ext>
          </c:extLst>
        </c:ser>
        <c:ser>
          <c:idx val="2"/>
          <c:order val="2"/>
          <c:tx>
            <c:strRef>
              <c:f>Tucker!$J$149</c:f>
              <c:strCache>
                <c:ptCount val="1"/>
                <c:pt idx="0">
                  <c:v>IF n=1500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Tucker!$J$150:$J$181</c:f>
              <c:numCache>
                <c:formatCode>General</c:formatCode>
                <c:ptCount val="32"/>
                <c:pt idx="0">
                  <c:v>0.15911600000000001</c:v>
                </c:pt>
                <c:pt idx="1">
                  <c:v>0.16428366666666669</c:v>
                </c:pt>
                <c:pt idx="2">
                  <c:v>0.19916766666666666</c:v>
                </c:pt>
                <c:pt idx="3">
                  <c:v>0.22759133333333334</c:v>
                </c:pt>
                <c:pt idx="4">
                  <c:v>0.46125700000000003</c:v>
                </c:pt>
                <c:pt idx="5">
                  <c:v>0.65154866666666666</c:v>
                </c:pt>
                <c:pt idx="6">
                  <c:v>0.98248233333333335</c:v>
                </c:pt>
                <c:pt idx="7">
                  <c:v>0.82375199999999993</c:v>
                </c:pt>
                <c:pt idx="8">
                  <c:v>0.208396</c:v>
                </c:pt>
                <c:pt idx="9">
                  <c:v>0.23718866666666663</c:v>
                </c:pt>
                <c:pt idx="10">
                  <c:v>0.89961066666666678</c:v>
                </c:pt>
                <c:pt idx="11">
                  <c:v>0.98912699999999998</c:v>
                </c:pt>
                <c:pt idx="12">
                  <c:v>0.40699333333333332</c:v>
                </c:pt>
                <c:pt idx="13">
                  <c:v>0.11057399999999999</c:v>
                </c:pt>
                <c:pt idx="14">
                  <c:v>5.6494666666666665E-2</c:v>
                </c:pt>
                <c:pt idx="15">
                  <c:v>8.3223333333333326E-3</c:v>
                </c:pt>
                <c:pt idx="16">
                  <c:v>0.44741399999999998</c:v>
                </c:pt>
                <c:pt idx="17">
                  <c:v>0.65450166666666665</c:v>
                </c:pt>
                <c:pt idx="18">
                  <c:v>0.32209133333333329</c:v>
                </c:pt>
                <c:pt idx="19">
                  <c:v>3.5454000000000006E-2</c:v>
                </c:pt>
                <c:pt idx="20">
                  <c:v>6.4763333333333339E-3</c:v>
                </c:pt>
                <c:pt idx="21">
                  <c:v>5.0000000000000001E-3</c:v>
                </c:pt>
                <c:pt idx="22">
                  <c:v>7.3996666666666664E-3</c:v>
                </c:pt>
                <c:pt idx="23">
                  <c:v>5.0000000000000001E-3</c:v>
                </c:pt>
                <c:pt idx="24">
                  <c:v>0.9415079999999999</c:v>
                </c:pt>
                <c:pt idx="25">
                  <c:v>0.79514366666666658</c:v>
                </c:pt>
                <c:pt idx="26">
                  <c:v>6.8456666666666666E-3</c:v>
                </c:pt>
                <c:pt idx="27">
                  <c:v>5.0000000000000001E-3</c:v>
                </c:pt>
                <c:pt idx="28">
                  <c:v>5.0000000000000001E-3</c:v>
                </c:pt>
                <c:pt idx="29">
                  <c:v>5.0000000000000001E-3</c:v>
                </c:pt>
                <c:pt idx="30">
                  <c:v>1.1460333333333335E-2</c:v>
                </c:pt>
                <c:pt idx="31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E3-49DC-BD65-CA92719AF94E}"/>
            </c:ext>
          </c:extLst>
        </c:ser>
        <c:ser>
          <c:idx val="3"/>
          <c:order val="3"/>
          <c:tx>
            <c:strRef>
              <c:f>Tucker!$M$149</c:f>
              <c:strCache>
                <c:ptCount val="1"/>
                <c:pt idx="0">
                  <c:v>IF n=3000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Tucker!$A$150:$A$181</c:f>
              <c:strCache>
                <c:ptCount val="32"/>
                <c:pt idx="0">
                  <c:v>5x5x5</c:v>
                </c:pt>
                <c:pt idx="1">
                  <c:v>5x5x16</c:v>
                </c:pt>
                <c:pt idx="2">
                  <c:v>5x16x5</c:v>
                </c:pt>
                <c:pt idx="3">
                  <c:v>5x16x16</c:v>
                </c:pt>
                <c:pt idx="4">
                  <c:v>5x32x5</c:v>
                </c:pt>
                <c:pt idx="5">
                  <c:v>5x32x16</c:v>
                </c:pt>
                <c:pt idx="6">
                  <c:v>5x64x5</c:v>
                </c:pt>
                <c:pt idx="7">
                  <c:v>5x64x16</c:v>
                </c:pt>
                <c:pt idx="8">
                  <c:v>16x5x5</c:v>
                </c:pt>
                <c:pt idx="9">
                  <c:v>16x5x16</c:v>
                </c:pt>
                <c:pt idx="10">
                  <c:v>16x16x5</c:v>
                </c:pt>
                <c:pt idx="11">
                  <c:v>16x16x16</c:v>
                </c:pt>
                <c:pt idx="12">
                  <c:v>16x32x5</c:v>
                </c:pt>
                <c:pt idx="13">
                  <c:v>16x32x16</c:v>
                </c:pt>
                <c:pt idx="14">
                  <c:v>16x64x5</c:v>
                </c:pt>
                <c:pt idx="15">
                  <c:v>16x64x16</c:v>
                </c:pt>
                <c:pt idx="16">
                  <c:v>32x5x5</c:v>
                </c:pt>
                <c:pt idx="17">
                  <c:v>32x5x16</c:v>
                </c:pt>
                <c:pt idx="18">
                  <c:v>32x16x5</c:v>
                </c:pt>
                <c:pt idx="19">
                  <c:v>32x16x16</c:v>
                </c:pt>
                <c:pt idx="20">
                  <c:v>32x32x5</c:v>
                </c:pt>
                <c:pt idx="21">
                  <c:v>32x32x16</c:v>
                </c:pt>
                <c:pt idx="22">
                  <c:v>32x64x5</c:v>
                </c:pt>
                <c:pt idx="23">
                  <c:v>32x64x16</c:v>
                </c:pt>
                <c:pt idx="24">
                  <c:v>64x5x5</c:v>
                </c:pt>
                <c:pt idx="25">
                  <c:v>64x5x16</c:v>
                </c:pt>
                <c:pt idx="26">
                  <c:v>64x16x5</c:v>
                </c:pt>
                <c:pt idx="27">
                  <c:v>64x16x16</c:v>
                </c:pt>
                <c:pt idx="28">
                  <c:v>64x32x5</c:v>
                </c:pt>
                <c:pt idx="29">
                  <c:v>64x32x16</c:v>
                </c:pt>
                <c:pt idx="30">
                  <c:v>64x64x5</c:v>
                </c:pt>
                <c:pt idx="31">
                  <c:v>64x64x16</c:v>
                </c:pt>
              </c:strCache>
            </c:strRef>
          </c:cat>
          <c:val>
            <c:numRef>
              <c:f>Tucker!$M$150:$M$181</c:f>
              <c:numCache>
                <c:formatCode>General</c:formatCode>
                <c:ptCount val="32"/>
                <c:pt idx="0">
                  <c:v>0.165465</c:v>
                </c:pt>
                <c:pt idx="1">
                  <c:v>0.16236400000000001</c:v>
                </c:pt>
                <c:pt idx="2">
                  <c:v>0.16701599999999997</c:v>
                </c:pt>
                <c:pt idx="3">
                  <c:v>0.165853</c:v>
                </c:pt>
                <c:pt idx="4">
                  <c:v>0.15189900000000001</c:v>
                </c:pt>
                <c:pt idx="5">
                  <c:v>0.25345000000000001</c:v>
                </c:pt>
                <c:pt idx="6">
                  <c:v>0.35693799999999998</c:v>
                </c:pt>
                <c:pt idx="7">
                  <c:v>0.76856599999999997</c:v>
                </c:pt>
                <c:pt idx="8">
                  <c:v>0.17050399999999999</c:v>
                </c:pt>
                <c:pt idx="9">
                  <c:v>0.15887599999999999</c:v>
                </c:pt>
                <c:pt idx="10">
                  <c:v>0.48755799999999999</c:v>
                </c:pt>
                <c:pt idx="11">
                  <c:v>0.61546500000000004</c:v>
                </c:pt>
                <c:pt idx="12">
                  <c:v>0.93174400000000002</c:v>
                </c:pt>
                <c:pt idx="13">
                  <c:v>0.99957399999999996</c:v>
                </c:pt>
                <c:pt idx="14">
                  <c:v>0.427481</c:v>
                </c:pt>
                <c:pt idx="15">
                  <c:v>9.9961000000000008E-2</c:v>
                </c:pt>
                <c:pt idx="16">
                  <c:v>0.17089099999999999</c:v>
                </c:pt>
                <c:pt idx="17">
                  <c:v>0.23910899999999999</c:v>
                </c:pt>
                <c:pt idx="18">
                  <c:v>0.92437999999999987</c:v>
                </c:pt>
                <c:pt idx="19">
                  <c:v>0.99569799999999997</c:v>
                </c:pt>
                <c:pt idx="20">
                  <c:v>0.24879799999999999</c:v>
                </c:pt>
                <c:pt idx="21">
                  <c:v>5.8100999999999993E-2</c:v>
                </c:pt>
                <c:pt idx="22">
                  <c:v>1.0038999999999999E-2</c:v>
                </c:pt>
                <c:pt idx="23">
                  <c:v>5.0000000000000001E-3</c:v>
                </c:pt>
                <c:pt idx="24">
                  <c:v>0.34531000000000001</c:v>
                </c:pt>
                <c:pt idx="25">
                  <c:v>0.80810100000000007</c:v>
                </c:pt>
                <c:pt idx="26">
                  <c:v>0.24686</c:v>
                </c:pt>
                <c:pt idx="27">
                  <c:v>4.0659000000000001E-2</c:v>
                </c:pt>
                <c:pt idx="28">
                  <c:v>5.7749999999999998E-3</c:v>
                </c:pt>
                <c:pt idx="29">
                  <c:v>5.0000000000000001E-3</c:v>
                </c:pt>
                <c:pt idx="30">
                  <c:v>6.1629999999999992E-3</c:v>
                </c:pt>
                <c:pt idx="31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E3-49DC-BD65-CA92719AF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2778655"/>
        <c:axId val="1382777215"/>
      </c:lineChart>
      <c:catAx>
        <c:axId val="138277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777215"/>
        <c:crosses val="autoZero"/>
        <c:auto val="1"/>
        <c:lblAlgn val="ctr"/>
        <c:lblOffset val="100"/>
        <c:noMultiLvlLbl val="0"/>
      </c:catAx>
      <c:valAx>
        <c:axId val="138277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77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259080</xdr:colOff>
      <xdr:row>2</xdr:row>
      <xdr:rowOff>95250</xdr:rowOff>
    </xdr:from>
    <xdr:to>
      <xdr:col>16</xdr:col>
      <xdr:colOff>563880</xdr:colOff>
      <xdr:row>29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120A55-392D-2274-A832-7774F8F41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228600</xdr:colOff>
      <xdr:row>81</xdr:row>
      <xdr:rowOff>3810</xdr:rowOff>
    </xdr:from>
    <xdr:to>
      <xdr:col>16</xdr:col>
      <xdr:colOff>571500</xdr:colOff>
      <xdr:row>107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3DA694-7DB2-8044-255C-473190CDB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259080</xdr:colOff>
      <xdr:row>159</xdr:row>
      <xdr:rowOff>148590</xdr:rowOff>
    </xdr:from>
    <xdr:to>
      <xdr:col>15</xdr:col>
      <xdr:colOff>601980</xdr:colOff>
      <xdr:row>185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EF2BCC-83B6-00AD-36DE-B9A3E8F26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3</xdr:row>
      <xdr:rowOff>110490</xdr:rowOff>
    </xdr:from>
    <xdr:to>
      <xdr:col>16</xdr:col>
      <xdr:colOff>15240</xdr:colOff>
      <xdr:row>29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4D7E4D-95F9-2C16-C9A1-A20593CCC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601980</xdr:colOff>
      <xdr:row>82</xdr:row>
      <xdr:rowOff>72390</xdr:rowOff>
    </xdr:from>
    <xdr:to>
      <xdr:col>17</xdr:col>
      <xdr:colOff>15240</xdr:colOff>
      <xdr:row>109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39E673-0138-11EA-A811-86AC418FE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548640</xdr:colOff>
      <xdr:row>159</xdr:row>
      <xdr:rowOff>11430</xdr:rowOff>
    </xdr:from>
    <xdr:to>
      <xdr:col>17</xdr:col>
      <xdr:colOff>7620</xdr:colOff>
      <xdr:row>185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B17592-A2F8-6F4F-CC87-10F68A258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475</xdr:row>
      <xdr:rowOff>26670</xdr:rowOff>
    </xdr:from>
    <xdr:to>
      <xdr:col>19</xdr:col>
      <xdr:colOff>76200</xdr:colOff>
      <xdr:row>503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FAE051-ACF8-09DB-CC01-69A32F47F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399</xdr:row>
      <xdr:rowOff>102870</xdr:rowOff>
    </xdr:from>
    <xdr:to>
      <xdr:col>7</xdr:col>
      <xdr:colOff>304800</xdr:colOff>
      <xdr:row>414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8E8C38-5384-DF8E-62C5-F8522539E5A7}"/>
            </a:ext>
            <a:ext uri="{147F2762-F138-4A5C-976F-8EAC2B608ADB}">
              <a16:predDERef xmlns:a16="http://schemas.microsoft.com/office/drawing/2014/main" pred="{37078BBE-F2A3-D13D-7C30-BC65A0CC9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144780</xdr:colOff>
      <xdr:row>414</xdr:row>
      <xdr:rowOff>133350</xdr:rowOff>
    </xdr:from>
    <xdr:to>
      <xdr:col>7</xdr:col>
      <xdr:colOff>449580</xdr:colOff>
      <xdr:row>429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E89060-88AA-E845-AABD-D077E957DC26}"/>
            </a:ext>
            <a:ext uri="{147F2762-F138-4A5C-976F-8EAC2B608ADB}">
              <a16:predDERef xmlns:a16="http://schemas.microsoft.com/office/drawing/2014/main" pred="{348E8C38-5384-DF8E-62C5-F8522539E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487680</xdr:colOff>
      <xdr:row>399</xdr:row>
      <xdr:rowOff>163830</xdr:rowOff>
    </xdr:from>
    <xdr:to>
      <xdr:col>14</xdr:col>
      <xdr:colOff>167640</xdr:colOff>
      <xdr:row>414</xdr:row>
      <xdr:rowOff>163830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076061-2A5F-5AAA-39D8-3C79E0F2AF39}"/>
            </a:ext>
            <a:ext uri="{147F2762-F138-4A5C-976F-8EAC2B608ADB}">
              <a16:predDERef xmlns:a16="http://schemas.microsoft.com/office/drawing/2014/main" pred="{85E89060-88AA-E845-AABD-D077E957D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510540</xdr:colOff>
      <xdr:row>414</xdr:row>
      <xdr:rowOff>34290</xdr:rowOff>
    </xdr:from>
    <xdr:to>
      <xdr:col>14</xdr:col>
      <xdr:colOff>190500</xdr:colOff>
      <xdr:row>429</xdr:row>
      <xdr:rowOff>34290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A6997CB-C0F5-8915-CB70-AF5D3A4B3EC0}"/>
            </a:ext>
            <a:ext uri="{147F2762-F138-4A5C-976F-8EAC2B608ADB}">
              <a16:predDERef xmlns:a16="http://schemas.microsoft.com/office/drawing/2014/main" pred="{40076061-2A5F-5AAA-39D8-3C79E0F2A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243840</xdr:colOff>
      <xdr:row>431</xdr:row>
      <xdr:rowOff>156210</xdr:rowOff>
    </xdr:from>
    <xdr:to>
      <xdr:col>18</xdr:col>
      <xdr:colOff>83820</xdr:colOff>
      <xdr:row>459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D0D1EB-6FF7-73FA-969F-7BDA00E85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195</xdr:row>
      <xdr:rowOff>26670</xdr:rowOff>
    </xdr:from>
    <xdr:to>
      <xdr:col>17</xdr:col>
      <xdr:colOff>662940</xdr:colOff>
      <xdr:row>224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B865A5-FA80-A6EB-4F45-4E64614D0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556260</xdr:colOff>
      <xdr:row>148</xdr:row>
      <xdr:rowOff>140970</xdr:rowOff>
    </xdr:from>
    <xdr:to>
      <xdr:col>29</xdr:col>
      <xdr:colOff>373380</xdr:colOff>
      <xdr:row>163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3BA26F-CFD0-EF5F-3ABB-3F635EDBD740}"/>
            </a:ext>
            <a:ext uri="{147F2762-F138-4A5C-976F-8EAC2B608ADB}">
              <a16:predDERef xmlns:a16="http://schemas.microsoft.com/office/drawing/2014/main" pred="{20B865A5-FA80-A6EB-4F45-4E64614D0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114300</xdr:colOff>
      <xdr:row>163</xdr:row>
      <xdr:rowOff>179070</xdr:rowOff>
    </xdr:from>
    <xdr:to>
      <xdr:col>29</xdr:col>
      <xdr:colOff>297180</xdr:colOff>
      <xdr:row>178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91D335-FBD8-5A08-7C5A-AE477B74CFFD}"/>
            </a:ext>
            <a:ext uri="{147F2762-F138-4A5C-976F-8EAC2B608ADB}">
              <a16:predDERef xmlns:a16="http://schemas.microsoft.com/office/drawing/2014/main" pred="{C93BA26F-CFD0-EF5F-3ABB-3F635EDBD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91440</xdr:colOff>
      <xdr:row>179</xdr:row>
      <xdr:rowOff>49530</xdr:rowOff>
    </xdr:from>
    <xdr:to>
      <xdr:col>29</xdr:col>
      <xdr:colOff>327660</xdr:colOff>
      <xdr:row>194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87C07B-82AF-8614-F9EE-FC172DE7C691}"/>
            </a:ext>
            <a:ext uri="{147F2762-F138-4A5C-976F-8EAC2B608ADB}">
              <a16:predDERef xmlns:a16="http://schemas.microsoft.com/office/drawing/2014/main" pred="{9391D335-FBD8-5A08-7C5A-AE477B74C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B81E-E6D3-4FDF-A88F-D46CB82CDBCA}">
  <dimension ref="A1:AB536"/>
  <sheetViews>
    <sheetView topLeftCell="B334" workbookViewId="0">
      <selection activeCell="J365" sqref="J365"/>
    </sheetView>
  </sheetViews>
  <sheetFormatPr defaultRowHeight="14.4" x14ac:dyDescent="0.3"/>
  <cols>
    <col min="1" max="1" width="34.6640625" bestFit="1" customWidth="1"/>
    <col min="2" max="2" width="15.77734375" bestFit="1" customWidth="1"/>
    <col min="3" max="6" width="15.6640625" bestFit="1" customWidth="1"/>
    <col min="7" max="8" width="16.6640625" bestFit="1" customWidth="1"/>
    <col min="9" max="9" width="13.5546875" bestFit="1" customWidth="1"/>
    <col min="10" max="10" width="13.5546875" customWidth="1"/>
    <col min="11" max="11" width="14.6640625" bestFit="1" customWidth="1"/>
    <col min="12" max="12" width="15.5546875" bestFit="1" customWidth="1"/>
    <col min="13" max="15" width="15.33203125" bestFit="1" customWidth="1"/>
    <col min="16" max="17" width="15.6640625" bestFit="1" customWidth="1"/>
    <col min="18" max="18" width="12.44140625" bestFit="1" customWidth="1"/>
    <col min="19" max="19" width="12.44140625" customWidth="1"/>
    <col min="20" max="24" width="18" bestFit="1" customWidth="1"/>
    <col min="25" max="26" width="19" bestFit="1" customWidth="1"/>
    <col min="27" max="27" width="15.6640625" bestFit="1" customWidth="1"/>
    <col min="28" max="28" width="18" bestFit="1" customWidth="1"/>
    <col min="29" max="30" width="19" bestFit="1" customWidth="1"/>
    <col min="31" max="31" width="15.6640625" bestFit="1" customWidth="1"/>
  </cols>
  <sheetData>
    <row r="1" spans="1:28" x14ac:dyDescent="0.3">
      <c r="A1" s="2" t="s">
        <v>0</v>
      </c>
    </row>
    <row r="2" spans="1:28" x14ac:dyDescent="0.3">
      <c r="C2" t="s">
        <v>1</v>
      </c>
    </row>
    <row r="3" spans="1:28" x14ac:dyDescent="0.3">
      <c r="B3" t="s">
        <v>2</v>
      </c>
      <c r="C3" t="s">
        <v>3</v>
      </c>
      <c r="D3" t="s">
        <v>4</v>
      </c>
      <c r="E3" t="s">
        <v>5</v>
      </c>
      <c r="F3" t="s">
        <v>408</v>
      </c>
    </row>
    <row r="4" spans="1:28" x14ac:dyDescent="0.3">
      <c r="A4" t="s">
        <v>6</v>
      </c>
      <c r="B4">
        <v>0.5</v>
      </c>
      <c r="C4">
        <v>0.5</v>
      </c>
      <c r="D4">
        <v>0.5</v>
      </c>
      <c r="E4">
        <f>AVERAGE(B4:D4)</f>
        <v>0.5</v>
      </c>
      <c r="F4">
        <f>_xlfn.STDEV.S(B4:D4)</f>
        <v>0</v>
      </c>
    </row>
    <row r="5" spans="1:28" x14ac:dyDescent="0.3">
      <c r="A5" t="s">
        <v>7</v>
      </c>
      <c r="B5">
        <v>0.53080000000000005</v>
      </c>
      <c r="C5">
        <v>0.46929999999999999</v>
      </c>
      <c r="D5">
        <v>0.57320000000000004</v>
      </c>
      <c r="E5">
        <f>AVERAGE(B5:D5)</f>
        <v>0.52443333333333342</v>
      </c>
      <c r="F5">
        <f t="shared" ref="F5:F6" si="0">_xlfn.STDEV.S(B5:D5)</f>
        <v>5.224177766245456E-2</v>
      </c>
    </row>
    <row r="6" spans="1:28" x14ac:dyDescent="0.3">
      <c r="A6" t="s">
        <v>8</v>
      </c>
      <c r="B6">
        <v>0.57489999999999997</v>
      </c>
      <c r="C6">
        <v>0.50800000000000001</v>
      </c>
      <c r="D6">
        <v>0.50419999999999998</v>
      </c>
      <c r="E6">
        <f>AVERAGE(B6:D6)</f>
        <v>0.52903333333333336</v>
      </c>
      <c r="F6">
        <f t="shared" si="0"/>
        <v>3.9767113716403062E-2</v>
      </c>
    </row>
    <row r="8" spans="1:28" x14ac:dyDescent="0.3">
      <c r="A8" t="s">
        <v>9</v>
      </c>
    </row>
    <row r="9" spans="1:28" x14ac:dyDescent="0.3"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409</v>
      </c>
      <c r="K9" t="s">
        <v>18</v>
      </c>
      <c r="L9" t="s">
        <v>19</v>
      </c>
      <c r="M9" t="s">
        <v>20</v>
      </c>
      <c r="N9" t="s">
        <v>21</v>
      </c>
      <c r="O9" t="s">
        <v>22</v>
      </c>
      <c r="P9" t="s">
        <v>23</v>
      </c>
      <c r="Q9" t="s">
        <v>24</v>
      </c>
      <c r="R9" t="s">
        <v>25</v>
      </c>
      <c r="S9" t="s">
        <v>419</v>
      </c>
      <c r="T9" t="s">
        <v>26</v>
      </c>
      <c r="U9" t="s">
        <v>27</v>
      </c>
      <c r="V9" t="s">
        <v>28</v>
      </c>
      <c r="W9" t="s">
        <v>29</v>
      </c>
      <c r="X9" t="s">
        <v>30</v>
      </c>
      <c r="Y9" t="s">
        <v>31</v>
      </c>
      <c r="Z9" t="s">
        <v>32</v>
      </c>
      <c r="AA9" t="s">
        <v>33</v>
      </c>
      <c r="AB9" t="s">
        <v>424</v>
      </c>
    </row>
    <row r="10" spans="1:28" x14ac:dyDescent="0.3">
      <c r="A10" t="s">
        <v>6</v>
      </c>
      <c r="B10">
        <v>0.54369999999999996</v>
      </c>
      <c r="C10">
        <v>0.52629999999999999</v>
      </c>
      <c r="D10">
        <v>0.5867</v>
      </c>
      <c r="E10">
        <v>0.54849999999999999</v>
      </c>
      <c r="F10">
        <v>0.58660000000000001</v>
      </c>
      <c r="G10">
        <v>0.54390000000000005</v>
      </c>
      <c r="H10">
        <v>0.60119999999999996</v>
      </c>
      <c r="I10">
        <v>0.56241428571428498</v>
      </c>
      <c r="J10">
        <f>_xlfn.STDEV.S(B10:H10)</f>
        <v>2.8489555312513418E-2</v>
      </c>
      <c r="K10">
        <v>0.65490000000000004</v>
      </c>
      <c r="L10">
        <v>0.68489999999999995</v>
      </c>
      <c r="M10">
        <v>0.69069999999999998</v>
      </c>
      <c r="N10">
        <v>0.70279999999999998</v>
      </c>
      <c r="O10">
        <v>0.66300000000000003</v>
      </c>
      <c r="P10">
        <v>0.66830000000000001</v>
      </c>
      <c r="Q10">
        <v>0.70609999999999995</v>
      </c>
      <c r="R10">
        <v>0.68152857142857104</v>
      </c>
      <c r="S10">
        <f>_xlfn.STDEV.S(K10:Q10)</f>
        <v>1.9912702335085339E-2</v>
      </c>
      <c r="T10">
        <v>0.67600000000000005</v>
      </c>
      <c r="U10">
        <v>0.67100000000000004</v>
      </c>
      <c r="V10">
        <v>0.71199999999999997</v>
      </c>
      <c r="W10">
        <v>0.66379999999999995</v>
      </c>
      <c r="X10">
        <v>0.6804</v>
      </c>
      <c r="Y10">
        <v>0.61329999999999996</v>
      </c>
      <c r="Z10">
        <v>0.70140000000000002</v>
      </c>
      <c r="AA10">
        <v>0.67398571428571397</v>
      </c>
      <c r="AB10">
        <f>_xlfn.STDEV.S(T10:Z10)</f>
        <v>3.1720783332668444E-2</v>
      </c>
    </row>
    <row r="11" spans="1:28" x14ac:dyDescent="0.3">
      <c r="A11" t="s">
        <v>7</v>
      </c>
      <c r="B11">
        <v>0.57609999999999995</v>
      </c>
      <c r="C11">
        <v>0.56730000000000003</v>
      </c>
      <c r="D11">
        <v>0.62749999999999995</v>
      </c>
      <c r="E11">
        <v>0.57630000000000003</v>
      </c>
      <c r="F11">
        <v>0.61009999999999998</v>
      </c>
      <c r="G11">
        <v>0.57040000000000002</v>
      </c>
      <c r="H11">
        <v>0.63349999999999995</v>
      </c>
      <c r="I11">
        <v>0.59445714285714202</v>
      </c>
      <c r="J11">
        <f t="shared" ref="J11:J12" si="1">_xlfn.STDEV.S(B11:H11)</f>
        <v>2.8413016802330621E-2</v>
      </c>
      <c r="K11">
        <v>0.58750000000000002</v>
      </c>
      <c r="L11">
        <v>0.6018</v>
      </c>
      <c r="M11">
        <v>0.64839999999999998</v>
      </c>
      <c r="N11">
        <v>0.61499999999999999</v>
      </c>
      <c r="O11">
        <v>0.62429999999999997</v>
      </c>
      <c r="P11">
        <v>0.5948</v>
      </c>
      <c r="Q11">
        <v>0.65990000000000004</v>
      </c>
      <c r="R11">
        <v>0.61881428571428498</v>
      </c>
      <c r="S11">
        <f t="shared" ref="S11:S12" si="2">_xlfn.STDEV.S(K11:Q11)</f>
        <v>2.7248084248954006E-2</v>
      </c>
      <c r="T11">
        <v>0.67830000000000001</v>
      </c>
      <c r="U11">
        <v>0.66930000000000001</v>
      </c>
      <c r="V11">
        <v>0.71079999999999999</v>
      </c>
      <c r="W11">
        <v>0.66300000000000003</v>
      </c>
      <c r="X11">
        <v>0.67989999999999995</v>
      </c>
      <c r="Y11">
        <v>0.61629999999999996</v>
      </c>
      <c r="Z11">
        <v>0.69840000000000002</v>
      </c>
      <c r="AA11">
        <v>0.67371428571428504</v>
      </c>
      <c r="AB11">
        <f t="shared" ref="AB11:AB12" si="3">_xlfn.STDEV.S(T11:Z11)</f>
        <v>3.0206810963281594E-2</v>
      </c>
    </row>
    <row r="12" spans="1:28" x14ac:dyDescent="0.3">
      <c r="A12" t="s">
        <v>8</v>
      </c>
      <c r="B12">
        <v>0.61219999999999997</v>
      </c>
      <c r="C12">
        <v>0.56910000000000005</v>
      </c>
      <c r="D12">
        <v>0.67310000000000003</v>
      </c>
      <c r="E12">
        <v>0.63460000000000005</v>
      </c>
      <c r="F12">
        <v>0.62839999999999996</v>
      </c>
      <c r="G12">
        <v>0.54459999999999997</v>
      </c>
      <c r="H12">
        <v>0.71030000000000004</v>
      </c>
      <c r="I12">
        <v>0.62461428571428501</v>
      </c>
      <c r="J12">
        <f t="shared" si="1"/>
        <v>5.6928593535276836E-2</v>
      </c>
      <c r="K12">
        <v>0.6038</v>
      </c>
      <c r="L12">
        <v>0.58399999999999996</v>
      </c>
      <c r="M12">
        <v>0.6361</v>
      </c>
      <c r="N12">
        <v>0.64510000000000001</v>
      </c>
      <c r="O12">
        <v>0.65</v>
      </c>
      <c r="P12">
        <v>0.57099999999999995</v>
      </c>
      <c r="Q12">
        <v>0.65620000000000001</v>
      </c>
      <c r="R12">
        <v>0.62088571428571404</v>
      </c>
      <c r="S12">
        <f t="shared" si="2"/>
        <v>3.4287044617047853E-2</v>
      </c>
      <c r="T12">
        <v>0.56010000000000004</v>
      </c>
      <c r="U12">
        <v>0.47360000000000002</v>
      </c>
      <c r="V12">
        <v>0.5151</v>
      </c>
      <c r="W12">
        <v>0.48709999999999998</v>
      </c>
      <c r="X12">
        <v>0.57730000000000004</v>
      </c>
      <c r="Y12">
        <v>0.48220000000000002</v>
      </c>
      <c r="Z12">
        <v>0.4758</v>
      </c>
      <c r="AA12">
        <v>0.51017142857142805</v>
      </c>
      <c r="AB12">
        <f t="shared" si="3"/>
        <v>4.2538128554890399E-2</v>
      </c>
    </row>
    <row r="14" spans="1:28" x14ac:dyDescent="0.3">
      <c r="A14" t="s">
        <v>34</v>
      </c>
    </row>
    <row r="15" spans="1:28" x14ac:dyDescent="0.3"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  <c r="J15" t="s">
        <v>409</v>
      </c>
      <c r="K15" t="s">
        <v>18</v>
      </c>
      <c r="L15" t="s">
        <v>19</v>
      </c>
      <c r="M15" t="s">
        <v>20</v>
      </c>
      <c r="N15" t="s">
        <v>21</v>
      </c>
      <c r="O15" t="s">
        <v>22</v>
      </c>
      <c r="P15" t="s">
        <v>23</v>
      </c>
      <c r="Q15" t="s">
        <v>24</v>
      </c>
      <c r="R15" t="s">
        <v>25</v>
      </c>
      <c r="S15" t="s">
        <v>419</v>
      </c>
      <c r="T15" t="s">
        <v>26</v>
      </c>
      <c r="U15" t="s">
        <v>27</v>
      </c>
      <c r="V15" t="s">
        <v>28</v>
      </c>
      <c r="W15" t="s">
        <v>29</v>
      </c>
      <c r="X15" t="s">
        <v>30</v>
      </c>
      <c r="Y15" t="s">
        <v>31</v>
      </c>
      <c r="Z15" t="s">
        <v>32</v>
      </c>
      <c r="AA15" t="s">
        <v>33</v>
      </c>
      <c r="AB15" t="s">
        <v>424</v>
      </c>
    </row>
    <row r="16" spans="1:28" x14ac:dyDescent="0.3">
      <c r="A16" t="s">
        <v>6</v>
      </c>
      <c r="B16">
        <v>0.54659999999999997</v>
      </c>
      <c r="C16">
        <v>0.52159999999999995</v>
      </c>
      <c r="D16">
        <v>0.57279999999999998</v>
      </c>
      <c r="E16">
        <v>0.54049999999999998</v>
      </c>
      <c r="F16">
        <v>0.58599999999999997</v>
      </c>
      <c r="G16">
        <v>0.50829999999999997</v>
      </c>
      <c r="H16">
        <v>0.57299999999999995</v>
      </c>
      <c r="I16">
        <v>0.549828571428571</v>
      </c>
      <c r="J16">
        <f t="shared" ref="J16:J30" si="4">_xlfn.STDEV.S(B16:H16)</f>
        <v>2.8844104786808357E-2</v>
      </c>
      <c r="K16">
        <v>0.60499999999999998</v>
      </c>
      <c r="L16">
        <v>0.66449999999999998</v>
      </c>
      <c r="M16">
        <v>0.63480000000000003</v>
      </c>
      <c r="N16">
        <v>0.65980000000000005</v>
      </c>
      <c r="O16">
        <v>0.61309999999999998</v>
      </c>
      <c r="P16">
        <v>0.64380000000000004</v>
      </c>
      <c r="Q16">
        <v>0.69979999999999998</v>
      </c>
      <c r="R16">
        <v>0.64582857142857097</v>
      </c>
      <c r="S16">
        <f t="shared" ref="S16:S18" si="5">_xlfn.STDEV.S(K16:Q16)</f>
        <v>3.2456674418148791E-2</v>
      </c>
      <c r="T16">
        <v>0.68530000000000002</v>
      </c>
      <c r="U16">
        <v>0.68410000000000004</v>
      </c>
      <c r="V16">
        <v>0.70369999999999999</v>
      </c>
      <c r="W16">
        <v>0.66849999999999998</v>
      </c>
      <c r="X16">
        <v>0.70040000000000002</v>
      </c>
      <c r="Y16">
        <v>0.5958</v>
      </c>
      <c r="Z16">
        <v>0.70760000000000001</v>
      </c>
      <c r="AA16">
        <v>0.67791428571428503</v>
      </c>
      <c r="AB16">
        <f t="shared" ref="AB16:AB18" si="6">_xlfn.STDEV.S(T16:Z16)</f>
        <v>3.8678048406963719E-2</v>
      </c>
    </row>
    <row r="17" spans="1:28" x14ac:dyDescent="0.3">
      <c r="A17" t="s">
        <v>7</v>
      </c>
      <c r="B17">
        <v>0.5464</v>
      </c>
      <c r="C17">
        <v>0.52790000000000004</v>
      </c>
      <c r="D17">
        <v>0.57340000000000002</v>
      </c>
      <c r="E17">
        <v>0.54310000000000003</v>
      </c>
      <c r="F17">
        <v>0.58779999999999999</v>
      </c>
      <c r="G17">
        <v>0.51100000000000001</v>
      </c>
      <c r="H17">
        <v>0.57099999999999995</v>
      </c>
      <c r="I17">
        <v>0.55151428571428496</v>
      </c>
      <c r="J17">
        <f t="shared" si="4"/>
        <v>2.7298744084141083E-2</v>
      </c>
      <c r="K17">
        <v>0.62509999999999999</v>
      </c>
      <c r="L17">
        <v>0.67479999999999996</v>
      </c>
      <c r="M17">
        <v>0.69779999999999998</v>
      </c>
      <c r="N17">
        <v>0.72740000000000005</v>
      </c>
      <c r="O17">
        <v>0.64410000000000001</v>
      </c>
      <c r="P17">
        <v>0.71599999999999997</v>
      </c>
      <c r="Q17">
        <v>0.72619999999999996</v>
      </c>
      <c r="R17">
        <v>0.68734285714285703</v>
      </c>
      <c r="S17">
        <f t="shared" si="5"/>
        <v>4.0715429390787351E-2</v>
      </c>
      <c r="T17">
        <v>0.68179999999999996</v>
      </c>
      <c r="U17">
        <v>0.68630000000000002</v>
      </c>
      <c r="V17">
        <v>0.7137</v>
      </c>
      <c r="W17">
        <v>0.66190000000000004</v>
      </c>
      <c r="X17">
        <v>0.69930000000000003</v>
      </c>
      <c r="Y17">
        <v>0.59940000000000004</v>
      </c>
      <c r="Z17">
        <v>0.70469999999999999</v>
      </c>
      <c r="AA17">
        <v>0.67815714285714201</v>
      </c>
      <c r="AB17">
        <f t="shared" si="6"/>
        <v>3.8646684081253199E-2</v>
      </c>
    </row>
    <row r="18" spans="1:28" x14ac:dyDescent="0.3">
      <c r="A18" t="s">
        <v>8</v>
      </c>
      <c r="B18">
        <v>0.54110000000000003</v>
      </c>
      <c r="C18">
        <v>0.498</v>
      </c>
      <c r="D18">
        <v>0.56540000000000001</v>
      </c>
      <c r="E18">
        <v>0.54459999999999997</v>
      </c>
      <c r="F18">
        <v>0.57589999999999997</v>
      </c>
      <c r="G18">
        <v>0.52629999999999999</v>
      </c>
      <c r="H18">
        <v>0.56610000000000005</v>
      </c>
      <c r="I18">
        <v>0.54534285714285702</v>
      </c>
      <c r="J18">
        <f t="shared" si="4"/>
        <v>2.704754191806575E-2</v>
      </c>
      <c r="K18">
        <v>0.62709999999999999</v>
      </c>
      <c r="L18">
        <v>0.59299999999999997</v>
      </c>
      <c r="M18">
        <v>0.66069999999999995</v>
      </c>
      <c r="N18">
        <v>0.63729999999999998</v>
      </c>
      <c r="O18">
        <v>0.63990000000000002</v>
      </c>
      <c r="P18">
        <v>0.61</v>
      </c>
      <c r="Q18">
        <v>0.70979999999999999</v>
      </c>
      <c r="R18">
        <v>0.63968571428571397</v>
      </c>
      <c r="S18">
        <f t="shared" si="5"/>
        <v>3.7820956649782959E-2</v>
      </c>
      <c r="T18">
        <v>0.67720000000000002</v>
      </c>
      <c r="U18">
        <v>0.64980000000000004</v>
      </c>
      <c r="V18">
        <v>0.6804</v>
      </c>
      <c r="W18">
        <v>0.61009999999999998</v>
      </c>
      <c r="X18">
        <v>0.67759999999999998</v>
      </c>
      <c r="Y18">
        <v>0.59899999999999998</v>
      </c>
      <c r="Z18">
        <v>0.5998</v>
      </c>
      <c r="AA18">
        <v>0.64198571428571405</v>
      </c>
      <c r="AB18">
        <f t="shared" si="6"/>
        <v>3.8055329393372701E-2</v>
      </c>
    </row>
    <row r="20" spans="1:28" x14ac:dyDescent="0.3">
      <c r="A20" t="s">
        <v>35</v>
      </c>
    </row>
    <row r="21" spans="1:28" x14ac:dyDescent="0.3"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  <c r="J21" t="s">
        <v>409</v>
      </c>
      <c r="K21" t="s">
        <v>18</v>
      </c>
      <c r="L21" t="s">
        <v>19</v>
      </c>
      <c r="M21" t="s">
        <v>20</v>
      </c>
      <c r="N21" t="s">
        <v>21</v>
      </c>
      <c r="O21" t="s">
        <v>22</v>
      </c>
      <c r="P21" t="s">
        <v>23</v>
      </c>
      <c r="Q21" t="s">
        <v>24</v>
      </c>
      <c r="R21" t="s">
        <v>25</v>
      </c>
      <c r="S21" t="s">
        <v>419</v>
      </c>
      <c r="T21" t="s">
        <v>26</v>
      </c>
      <c r="U21" t="s">
        <v>27</v>
      </c>
      <c r="V21" t="s">
        <v>28</v>
      </c>
      <c r="W21" t="s">
        <v>29</v>
      </c>
      <c r="X21" t="s">
        <v>30</v>
      </c>
      <c r="Y21" t="s">
        <v>31</v>
      </c>
      <c r="Z21" t="s">
        <v>32</v>
      </c>
      <c r="AA21" t="s">
        <v>33</v>
      </c>
      <c r="AB21" t="s">
        <v>424</v>
      </c>
    </row>
    <row r="22" spans="1:28" x14ac:dyDescent="0.3">
      <c r="A22" t="s">
        <v>6</v>
      </c>
      <c r="B22" s="1">
        <v>0.55120000000000002</v>
      </c>
      <c r="C22" s="1">
        <v>0.49809999999999999</v>
      </c>
      <c r="D22" s="1">
        <v>0.55400000000000005</v>
      </c>
      <c r="E22" s="1">
        <v>0.50700000000000001</v>
      </c>
      <c r="F22" s="1">
        <v>0.58050000000000002</v>
      </c>
      <c r="G22" s="1">
        <v>0.49840000000000001</v>
      </c>
      <c r="H22" s="1">
        <v>0.56130000000000002</v>
      </c>
      <c r="I22" s="1">
        <v>0.53578571428571398</v>
      </c>
      <c r="J22">
        <f t="shared" si="4"/>
        <v>3.382855936293222E-2</v>
      </c>
      <c r="K22" s="1">
        <v>0.6462</v>
      </c>
      <c r="L22" s="1">
        <v>0.70720000000000005</v>
      </c>
      <c r="M22" s="1">
        <v>0.66490000000000005</v>
      </c>
      <c r="N22" s="1">
        <v>0.71630000000000005</v>
      </c>
      <c r="O22" s="1">
        <v>0.64280000000000004</v>
      </c>
      <c r="P22" s="1">
        <v>0.66200000000000003</v>
      </c>
      <c r="Q22" s="1">
        <v>0.73509999999999998</v>
      </c>
      <c r="R22" s="1">
        <v>0.682071428571428</v>
      </c>
      <c r="S22">
        <f t="shared" ref="S22:S24" si="7">_xlfn.STDEV.S(K22:Q22)</f>
        <v>3.6837015545314114E-2</v>
      </c>
      <c r="T22" s="1">
        <v>0.66779999999999995</v>
      </c>
      <c r="U22" s="1">
        <v>0.66039999999999999</v>
      </c>
      <c r="V22" s="1">
        <v>0.69259999999999999</v>
      </c>
      <c r="W22" s="1">
        <v>0.64939999999999998</v>
      </c>
      <c r="X22" s="1">
        <v>0.69199999999999995</v>
      </c>
      <c r="Y22" s="1">
        <v>0.59860000000000002</v>
      </c>
      <c r="Z22" s="1">
        <v>0.68840000000000001</v>
      </c>
      <c r="AA22" s="1">
        <v>0.66417142857142797</v>
      </c>
      <c r="AB22">
        <f t="shared" ref="AB22:AB24" si="8">_xlfn.STDEV.S(T22:Z22)</f>
        <v>3.3453535651991211E-2</v>
      </c>
    </row>
    <row r="23" spans="1:28" x14ac:dyDescent="0.3">
      <c r="A23" t="s">
        <v>7</v>
      </c>
      <c r="B23" s="1">
        <v>0.59599999999999997</v>
      </c>
      <c r="C23" s="1">
        <v>0.55189999999999995</v>
      </c>
      <c r="D23" s="1">
        <v>0.59930000000000005</v>
      </c>
      <c r="E23" s="1">
        <v>0.5413</v>
      </c>
      <c r="F23" s="1">
        <v>0.61299999999999999</v>
      </c>
      <c r="G23" s="1">
        <v>0.53290000000000004</v>
      </c>
      <c r="H23" s="1">
        <v>0.60519999999999996</v>
      </c>
      <c r="I23" s="1">
        <v>0.57708571428571398</v>
      </c>
      <c r="J23">
        <f t="shared" si="4"/>
        <v>3.3662017595079294E-2</v>
      </c>
      <c r="K23" s="1">
        <v>0.67230000000000001</v>
      </c>
      <c r="L23" s="1">
        <v>0.66080000000000005</v>
      </c>
      <c r="M23" s="1">
        <v>0.7137</v>
      </c>
      <c r="N23" s="1">
        <v>0.7429</v>
      </c>
      <c r="O23" s="1">
        <v>0.64180000000000004</v>
      </c>
      <c r="P23" s="1">
        <v>0.6512</v>
      </c>
      <c r="Q23" s="1">
        <v>0.76100000000000001</v>
      </c>
      <c r="R23" s="1">
        <v>0.69195714285714205</v>
      </c>
      <c r="S23">
        <f t="shared" si="7"/>
        <v>4.7203278740035874E-2</v>
      </c>
      <c r="T23" s="1">
        <v>0.66649999999999998</v>
      </c>
      <c r="U23" s="1">
        <v>0.66020000000000001</v>
      </c>
      <c r="V23" s="1">
        <v>0.68779999999999997</v>
      </c>
      <c r="W23" s="1">
        <v>0.65259999999999996</v>
      </c>
      <c r="X23" s="1">
        <v>0.6865</v>
      </c>
      <c r="Y23" s="1">
        <v>0.59709999999999996</v>
      </c>
      <c r="Z23" s="1">
        <v>0.69220000000000004</v>
      </c>
      <c r="AA23" s="1">
        <v>0.66327142857142796</v>
      </c>
      <c r="AB23">
        <f t="shared" si="8"/>
        <v>3.2889902923020541E-2</v>
      </c>
    </row>
    <row r="24" spans="1:28" x14ac:dyDescent="0.3">
      <c r="A24" t="s">
        <v>8</v>
      </c>
      <c r="B24" s="1">
        <v>0.53849999999999998</v>
      </c>
      <c r="C24" s="1">
        <v>0.52869999999999995</v>
      </c>
      <c r="D24" s="1">
        <v>0.57379999999999998</v>
      </c>
      <c r="E24" s="1">
        <v>0.57010000000000005</v>
      </c>
      <c r="F24" s="1">
        <v>0.59750000000000003</v>
      </c>
      <c r="G24" s="1">
        <v>0.52539999999999998</v>
      </c>
      <c r="H24" s="1">
        <v>0.57650000000000001</v>
      </c>
      <c r="I24" s="1">
        <v>0.558642857142857</v>
      </c>
      <c r="J24">
        <f t="shared" si="4"/>
        <v>2.7680188892831976E-2</v>
      </c>
      <c r="K24" s="1">
        <v>0.5877</v>
      </c>
      <c r="L24" s="1">
        <v>0.62780000000000002</v>
      </c>
      <c r="M24" s="1">
        <v>0.62509999999999999</v>
      </c>
      <c r="N24" s="1">
        <v>0.61070000000000002</v>
      </c>
      <c r="O24" s="1">
        <v>0.63019999999999998</v>
      </c>
      <c r="P24" s="1">
        <v>0.57230000000000003</v>
      </c>
      <c r="Q24" s="1">
        <v>0.64539999999999997</v>
      </c>
      <c r="R24" s="1">
        <v>0.61417142857142804</v>
      </c>
      <c r="S24">
        <f t="shared" si="7"/>
        <v>2.5830583571012228E-2</v>
      </c>
      <c r="T24" s="1">
        <v>0.45710000000000001</v>
      </c>
      <c r="U24" s="1">
        <v>0.38890000000000002</v>
      </c>
      <c r="V24" s="1">
        <v>0.48060000000000003</v>
      </c>
      <c r="W24" s="1">
        <v>0.47189999999999999</v>
      </c>
      <c r="X24" s="1">
        <v>0.47939999999999999</v>
      </c>
      <c r="Y24" s="1">
        <v>0.4758</v>
      </c>
      <c r="Z24" s="1">
        <v>0.4642</v>
      </c>
      <c r="AA24" s="1">
        <v>0.4597</v>
      </c>
      <c r="AB24">
        <f t="shared" si="8"/>
        <v>3.2333161511570944E-2</v>
      </c>
    </row>
    <row r="26" spans="1:28" x14ac:dyDescent="0.3">
      <c r="A26" t="s">
        <v>36</v>
      </c>
    </row>
    <row r="27" spans="1:28" x14ac:dyDescent="0.3"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 t="s">
        <v>17</v>
      </c>
      <c r="J27" t="s">
        <v>409</v>
      </c>
      <c r="K27" t="s">
        <v>18</v>
      </c>
      <c r="L27" t="s">
        <v>19</v>
      </c>
      <c r="M27" t="s">
        <v>20</v>
      </c>
      <c r="N27" t="s">
        <v>21</v>
      </c>
      <c r="O27" t="s">
        <v>22</v>
      </c>
      <c r="P27" t="s">
        <v>23</v>
      </c>
      <c r="Q27" t="s">
        <v>24</v>
      </c>
      <c r="R27" t="s">
        <v>25</v>
      </c>
      <c r="S27" t="s">
        <v>419</v>
      </c>
      <c r="T27" t="s">
        <v>26</v>
      </c>
      <c r="U27" t="s">
        <v>27</v>
      </c>
      <c r="V27" t="s">
        <v>28</v>
      </c>
      <c r="W27" t="s">
        <v>29</v>
      </c>
      <c r="X27" t="s">
        <v>30</v>
      </c>
      <c r="Y27" t="s">
        <v>31</v>
      </c>
      <c r="Z27" t="s">
        <v>32</v>
      </c>
      <c r="AA27" t="s">
        <v>33</v>
      </c>
      <c r="AB27" t="s">
        <v>424</v>
      </c>
    </row>
    <row r="28" spans="1:28" x14ac:dyDescent="0.3">
      <c r="A28" t="s">
        <v>6</v>
      </c>
      <c r="B28" s="1">
        <v>0.57210000000000005</v>
      </c>
      <c r="C28" s="1">
        <v>0.51300000000000001</v>
      </c>
      <c r="D28" s="1">
        <v>0.56420000000000003</v>
      </c>
      <c r="E28" s="1">
        <v>0.52510000000000001</v>
      </c>
      <c r="F28" s="1">
        <v>0.59699999999999998</v>
      </c>
      <c r="G28" s="1">
        <v>0.51090000000000002</v>
      </c>
      <c r="H28" s="1">
        <v>0.57899999999999996</v>
      </c>
      <c r="I28" s="1">
        <v>0.55161428571428495</v>
      </c>
      <c r="J28">
        <f t="shared" si="4"/>
        <v>3.4736216862300377E-2</v>
      </c>
      <c r="K28" s="1">
        <v>0.57179999999999997</v>
      </c>
      <c r="L28" s="1">
        <v>0.51659999999999995</v>
      </c>
      <c r="M28" s="1">
        <v>0.56120000000000003</v>
      </c>
      <c r="N28" s="1">
        <v>0.5242</v>
      </c>
      <c r="O28" s="1">
        <v>0.58960000000000001</v>
      </c>
      <c r="P28" s="1">
        <v>0.51749999999999996</v>
      </c>
      <c r="Q28" s="1">
        <v>0.57889999999999997</v>
      </c>
      <c r="R28" s="1">
        <v>0.5514</v>
      </c>
      <c r="S28">
        <f t="shared" ref="S28:S30" si="9">_xlfn.STDEV.S(K28:Q28)</f>
        <v>3.1165632781425562E-2</v>
      </c>
      <c r="T28" s="1">
        <v>0.59419999999999995</v>
      </c>
      <c r="U28" s="1">
        <v>0.52170000000000005</v>
      </c>
      <c r="V28" s="1">
        <v>0.56540000000000001</v>
      </c>
      <c r="W28" s="1">
        <v>0.50190000000000001</v>
      </c>
      <c r="X28" s="1">
        <v>0.56759999999999999</v>
      </c>
      <c r="Y28" s="1">
        <v>0.51590000000000003</v>
      </c>
      <c r="Z28" s="1">
        <v>0.53900000000000003</v>
      </c>
      <c r="AA28" s="1">
        <v>0.54367142857142803</v>
      </c>
      <c r="AB28">
        <f t="shared" ref="AB28:AB30" si="10">_xlfn.STDEV.S(T28:Z28)</f>
        <v>3.3212734218755806E-2</v>
      </c>
    </row>
    <row r="29" spans="1:28" x14ac:dyDescent="0.3">
      <c r="A29" t="s">
        <v>7</v>
      </c>
      <c r="B29" s="1">
        <v>0.61819999999999997</v>
      </c>
      <c r="C29" s="1">
        <v>0.57140000000000002</v>
      </c>
      <c r="D29" s="1">
        <v>0.62209999999999999</v>
      </c>
      <c r="E29" s="1">
        <v>0.58499999999999996</v>
      </c>
      <c r="F29" s="1">
        <v>0.63990000000000002</v>
      </c>
      <c r="G29" s="1">
        <v>0.56979999999999997</v>
      </c>
      <c r="H29" s="1">
        <v>0.62639999999999996</v>
      </c>
      <c r="I29" s="1">
        <v>0.60468571428571405</v>
      </c>
      <c r="J29">
        <f t="shared" si="4"/>
        <v>2.8606317983470516E-2</v>
      </c>
      <c r="K29" s="1">
        <v>0.60089999999999999</v>
      </c>
      <c r="L29" s="1">
        <v>0.55300000000000005</v>
      </c>
      <c r="M29" s="1">
        <v>0.59330000000000005</v>
      </c>
      <c r="N29" s="1">
        <v>0.5585</v>
      </c>
      <c r="O29" s="1">
        <v>0.62609999999999999</v>
      </c>
      <c r="P29" s="1">
        <v>0.55479999999999996</v>
      </c>
      <c r="Q29" s="1">
        <v>0.60660000000000003</v>
      </c>
      <c r="R29" s="1">
        <v>0.58474285714285701</v>
      </c>
      <c r="S29">
        <f t="shared" si="9"/>
        <v>2.9198450709062015E-2</v>
      </c>
      <c r="T29" s="1">
        <v>0.59299999999999997</v>
      </c>
      <c r="U29" s="1">
        <v>0.52259999999999995</v>
      </c>
      <c r="V29" s="1">
        <v>0.56679999999999997</v>
      </c>
      <c r="W29" s="1">
        <v>0.50070000000000003</v>
      </c>
      <c r="X29" s="1">
        <v>0.56740000000000002</v>
      </c>
      <c r="Y29" s="1">
        <v>0.5171</v>
      </c>
      <c r="Z29" s="1">
        <v>0.54110000000000003</v>
      </c>
      <c r="AA29" s="1">
        <v>0.54410000000000003</v>
      </c>
      <c r="AB29">
        <f t="shared" si="10"/>
        <v>3.2997979736139389E-2</v>
      </c>
    </row>
    <row r="30" spans="1:28" x14ac:dyDescent="0.3">
      <c r="A30" t="s">
        <v>8</v>
      </c>
      <c r="B30" s="1">
        <v>0.5837</v>
      </c>
      <c r="C30" s="1">
        <v>0.58140000000000003</v>
      </c>
      <c r="D30" s="1">
        <v>0.58320000000000005</v>
      </c>
      <c r="E30" s="1">
        <v>0.53700000000000003</v>
      </c>
      <c r="F30" s="1">
        <v>0.59409999999999996</v>
      </c>
      <c r="G30" s="1">
        <v>0.51529999999999998</v>
      </c>
      <c r="H30" s="1">
        <v>0.59409999999999996</v>
      </c>
      <c r="I30" s="1">
        <v>0.56982857142857102</v>
      </c>
      <c r="J30">
        <f t="shared" si="4"/>
        <v>3.0914921655284536E-2</v>
      </c>
      <c r="K30" s="1">
        <v>0.57940000000000003</v>
      </c>
      <c r="L30" s="1">
        <v>0.50180000000000002</v>
      </c>
      <c r="M30" s="1">
        <v>0.56540000000000001</v>
      </c>
      <c r="N30" s="1">
        <v>0.5343</v>
      </c>
      <c r="O30" s="1">
        <v>0.60580000000000001</v>
      </c>
      <c r="P30" s="1">
        <v>0.51800000000000002</v>
      </c>
      <c r="Q30" s="1">
        <v>0.54569999999999996</v>
      </c>
      <c r="R30" s="1">
        <v>0.55005714285714202</v>
      </c>
      <c r="S30">
        <f t="shared" si="9"/>
        <v>3.6118686629077808E-2</v>
      </c>
      <c r="T30" s="1">
        <v>0.56910000000000005</v>
      </c>
      <c r="U30" s="1">
        <v>0.4879</v>
      </c>
      <c r="V30" s="1">
        <v>0.55630000000000002</v>
      </c>
      <c r="W30" s="1">
        <v>0.51859999999999995</v>
      </c>
      <c r="X30" s="1">
        <v>0.52029999999999998</v>
      </c>
      <c r="Y30" s="1">
        <v>0.52649999999999997</v>
      </c>
      <c r="Z30" s="1">
        <v>0.54349999999999998</v>
      </c>
      <c r="AA30" s="1">
        <v>0.53174285714285696</v>
      </c>
      <c r="AB30">
        <f t="shared" si="10"/>
        <v>2.7049944987181117E-2</v>
      </c>
    </row>
    <row r="32" spans="1:28" x14ac:dyDescent="0.3">
      <c r="A32" t="s">
        <v>37</v>
      </c>
    </row>
    <row r="33" spans="1:14" x14ac:dyDescent="0.3">
      <c r="C33" t="s">
        <v>9</v>
      </c>
      <c r="D33" t="s">
        <v>34</v>
      </c>
      <c r="E33" t="s">
        <v>35</v>
      </c>
      <c r="F33" t="s">
        <v>36</v>
      </c>
      <c r="G33" t="s">
        <v>9</v>
      </c>
      <c r="H33" t="s">
        <v>34</v>
      </c>
      <c r="I33" t="s">
        <v>35</v>
      </c>
      <c r="J33" t="s">
        <v>36</v>
      </c>
      <c r="K33" t="s">
        <v>9</v>
      </c>
      <c r="L33" t="s">
        <v>34</v>
      </c>
      <c r="M33" t="s">
        <v>35</v>
      </c>
      <c r="N33" t="s">
        <v>36</v>
      </c>
    </row>
    <row r="34" spans="1:14" x14ac:dyDescent="0.3">
      <c r="A34" t="s">
        <v>169</v>
      </c>
      <c r="B34" t="s">
        <v>1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44</v>
      </c>
      <c r="J34" t="s">
        <v>45</v>
      </c>
      <c r="K34" t="s">
        <v>46</v>
      </c>
      <c r="L34" t="s">
        <v>47</v>
      </c>
      <c r="M34" t="s">
        <v>48</v>
      </c>
      <c r="N34" t="s">
        <v>49</v>
      </c>
    </row>
    <row r="35" spans="1:14" x14ac:dyDescent="0.3">
      <c r="A35" t="s">
        <v>6</v>
      </c>
      <c r="B35">
        <v>0.5</v>
      </c>
      <c r="C35">
        <v>0.56241428571428498</v>
      </c>
      <c r="D35">
        <v>0.549828571428571</v>
      </c>
      <c r="E35" s="1">
        <v>0.53578571428571398</v>
      </c>
      <c r="F35" s="1">
        <v>0.55161428571428495</v>
      </c>
      <c r="G35">
        <v>0.68152857142857104</v>
      </c>
      <c r="H35">
        <v>0.64582857142857097</v>
      </c>
      <c r="I35" s="1">
        <v>0.682071428571428</v>
      </c>
      <c r="J35" s="1">
        <v>0.5514</v>
      </c>
      <c r="K35">
        <v>0.67398571428571397</v>
      </c>
      <c r="L35">
        <v>0.67791428571428503</v>
      </c>
      <c r="M35" s="1">
        <v>0.66417142857142797</v>
      </c>
      <c r="N35" s="1">
        <v>0.54367142857142803</v>
      </c>
    </row>
    <row r="36" spans="1:14" x14ac:dyDescent="0.3">
      <c r="A36" t="s">
        <v>7</v>
      </c>
      <c r="B36">
        <v>0.52443333333333342</v>
      </c>
      <c r="C36">
        <v>0.59445714285714202</v>
      </c>
      <c r="D36">
        <v>0.55151428571428496</v>
      </c>
      <c r="E36" s="1">
        <v>0.57708571428571398</v>
      </c>
      <c r="F36" s="1">
        <v>0.60468571428571405</v>
      </c>
      <c r="G36">
        <v>0.61881428571428498</v>
      </c>
      <c r="H36">
        <v>0.68734285714285703</v>
      </c>
      <c r="I36" s="1">
        <v>0.69195714285714205</v>
      </c>
      <c r="J36" s="1">
        <v>0.58474285714285701</v>
      </c>
      <c r="K36">
        <v>0.67371428571428504</v>
      </c>
      <c r="L36">
        <v>0.67815714285714201</v>
      </c>
      <c r="M36" s="1">
        <v>0.66327142857142796</v>
      </c>
      <c r="N36" s="1">
        <v>0.54410000000000003</v>
      </c>
    </row>
    <row r="37" spans="1:14" x14ac:dyDescent="0.3">
      <c r="A37" t="s">
        <v>8</v>
      </c>
      <c r="B37">
        <v>0.52903333333333336</v>
      </c>
      <c r="C37">
        <v>0.62461428571428501</v>
      </c>
      <c r="D37">
        <v>0.54534285714285702</v>
      </c>
      <c r="E37" s="1">
        <v>0.558642857142857</v>
      </c>
      <c r="F37" s="1">
        <v>0.56982857142857102</v>
      </c>
      <c r="G37">
        <v>0.62088571428571404</v>
      </c>
      <c r="H37">
        <v>0.63968571428571397</v>
      </c>
      <c r="I37" s="1">
        <v>0.61417142857142804</v>
      </c>
      <c r="J37" s="1">
        <v>0.55005714285714202</v>
      </c>
      <c r="K37">
        <v>0.51017142857142805</v>
      </c>
      <c r="L37">
        <v>0.64198571428571405</v>
      </c>
      <c r="M37" s="1">
        <v>0.4597</v>
      </c>
      <c r="N37" s="1">
        <v>0.53174285714285696</v>
      </c>
    </row>
    <row r="38" spans="1:14" x14ac:dyDescent="0.3">
      <c r="E38" s="1"/>
      <c r="F38" s="1"/>
      <c r="I38" s="1"/>
      <c r="J38" s="1"/>
      <c r="M38" s="1"/>
      <c r="N38" s="1"/>
    </row>
    <row r="39" spans="1:14" x14ac:dyDescent="0.3">
      <c r="A39" t="s">
        <v>411</v>
      </c>
      <c r="E39" s="1"/>
      <c r="F39" s="1"/>
      <c r="I39" s="1"/>
      <c r="J39" s="1"/>
      <c r="M39" s="1"/>
      <c r="N39" s="1"/>
    </row>
    <row r="40" spans="1:14" x14ac:dyDescent="0.3">
      <c r="A40" t="s">
        <v>169</v>
      </c>
      <c r="B40" t="s">
        <v>410</v>
      </c>
      <c r="C40" t="s">
        <v>412</v>
      </c>
      <c r="D40" t="s">
        <v>413</v>
      </c>
      <c r="E40" s="1" t="s">
        <v>414</v>
      </c>
      <c r="F40" s="1" t="s">
        <v>415</v>
      </c>
      <c r="G40" t="s">
        <v>416</v>
      </c>
      <c r="H40" t="s">
        <v>417</v>
      </c>
      <c r="I40" s="1" t="s">
        <v>418</v>
      </c>
      <c r="J40" s="1" t="s">
        <v>420</v>
      </c>
      <c r="K40" s="1" t="s">
        <v>421</v>
      </c>
      <c r="L40" s="1" t="s">
        <v>422</v>
      </c>
      <c r="M40" s="1" t="s">
        <v>423</v>
      </c>
      <c r="N40" s="1"/>
    </row>
    <row r="41" spans="1:14" x14ac:dyDescent="0.3">
      <c r="A41" t="s">
        <v>6</v>
      </c>
      <c r="B41">
        <v>2.8489555312513418E-2</v>
      </c>
      <c r="C41">
        <v>2.8844104786808357E-2</v>
      </c>
      <c r="D41">
        <v>3.382855936293222E-2</v>
      </c>
      <c r="E41">
        <v>3.4736216862300377E-2</v>
      </c>
      <c r="F41">
        <v>1.9912702335085339E-2</v>
      </c>
      <c r="G41">
        <v>3.2456674418148791E-2</v>
      </c>
      <c r="H41">
        <v>3.6837015545314114E-2</v>
      </c>
      <c r="I41" s="1">
        <v>3.1165632781425562E-2</v>
      </c>
      <c r="J41">
        <v>3.1720783332668444E-2</v>
      </c>
      <c r="K41">
        <v>3.8678048406963719E-2</v>
      </c>
      <c r="L41">
        <v>3.3453535651991211E-2</v>
      </c>
      <c r="M41" s="1">
        <v>3.3212734218755806E-2</v>
      </c>
      <c r="N41" s="1"/>
    </row>
    <row r="42" spans="1:14" x14ac:dyDescent="0.3">
      <c r="A42" t="s">
        <v>7</v>
      </c>
      <c r="B42">
        <v>2.8413016802330621E-2</v>
      </c>
      <c r="C42">
        <v>2.7298744084141083E-2</v>
      </c>
      <c r="D42">
        <v>3.3662017595079294E-2</v>
      </c>
      <c r="E42">
        <v>2.8606317983470516E-2</v>
      </c>
      <c r="F42">
        <v>2.7248084248954006E-2</v>
      </c>
      <c r="G42">
        <v>4.0715429390787351E-2</v>
      </c>
      <c r="H42">
        <v>4.7203278740035874E-2</v>
      </c>
      <c r="I42" s="1">
        <v>2.9198450709062015E-2</v>
      </c>
      <c r="J42">
        <v>3.0206810963281594E-2</v>
      </c>
      <c r="K42">
        <v>3.8646684081253199E-2</v>
      </c>
      <c r="L42">
        <v>3.2889902923020541E-2</v>
      </c>
      <c r="M42" s="1">
        <v>3.2997979736139389E-2</v>
      </c>
      <c r="N42" s="1"/>
    </row>
    <row r="43" spans="1:14" x14ac:dyDescent="0.3">
      <c r="A43" t="s">
        <v>8</v>
      </c>
      <c r="B43">
        <v>5.6928593535276836E-2</v>
      </c>
      <c r="C43">
        <v>2.704754191806575E-2</v>
      </c>
      <c r="D43">
        <v>2.7680188892831976E-2</v>
      </c>
      <c r="E43">
        <v>3.0914921655284536E-2</v>
      </c>
      <c r="F43">
        <v>3.4287044617047853E-2</v>
      </c>
      <c r="G43">
        <v>3.7820956649782959E-2</v>
      </c>
      <c r="H43">
        <v>2.5830583571012228E-2</v>
      </c>
      <c r="I43" s="1">
        <v>3.6118686629077808E-2</v>
      </c>
      <c r="J43">
        <v>4.2538128554890399E-2</v>
      </c>
      <c r="K43">
        <v>3.8055329393372701E-2</v>
      </c>
      <c r="L43">
        <v>3.2333161511570944E-2</v>
      </c>
      <c r="M43" s="1">
        <v>2.7049944987181117E-2</v>
      </c>
      <c r="N43" s="1"/>
    </row>
    <row r="44" spans="1:14" ht="13.95" customHeight="1" x14ac:dyDescent="0.3"/>
    <row r="46" spans="1:14" x14ac:dyDescent="0.3">
      <c r="A46" s="2" t="s">
        <v>50</v>
      </c>
    </row>
    <row r="47" spans="1:14" x14ac:dyDescent="0.3">
      <c r="C47" t="s">
        <v>1</v>
      </c>
    </row>
    <row r="48" spans="1:14" x14ac:dyDescent="0.3">
      <c r="B48" t="s">
        <v>2</v>
      </c>
      <c r="C48" t="s">
        <v>3</v>
      </c>
      <c r="D48" t="s">
        <v>4</v>
      </c>
      <c r="E48" t="s">
        <v>5</v>
      </c>
    </row>
    <row r="49" spans="1:27" x14ac:dyDescent="0.3">
      <c r="A49" t="s">
        <v>6</v>
      </c>
      <c r="B49" s="1">
        <v>0.5</v>
      </c>
      <c r="C49" s="1">
        <v>0.5</v>
      </c>
      <c r="D49" s="1">
        <v>0.5</v>
      </c>
      <c r="E49" s="1">
        <v>0.5</v>
      </c>
    </row>
    <row r="50" spans="1:27" x14ac:dyDescent="0.3">
      <c r="A50" t="s">
        <v>7</v>
      </c>
      <c r="B50" s="1">
        <v>0.58677699999999999</v>
      </c>
      <c r="C50" s="1">
        <v>0.58677699999999999</v>
      </c>
      <c r="D50" s="1">
        <v>0.60950400000000005</v>
      </c>
      <c r="E50" s="1">
        <v>0.59435300000000002</v>
      </c>
    </row>
    <row r="51" spans="1:27" x14ac:dyDescent="0.3">
      <c r="A51" t="s">
        <v>8</v>
      </c>
      <c r="B51" s="1">
        <v>0.83677699999999999</v>
      </c>
      <c r="C51" s="1">
        <v>0.81405000000000005</v>
      </c>
      <c r="D51" s="1">
        <v>0.80165299999999995</v>
      </c>
      <c r="E51" s="1">
        <v>0.81749300000000003</v>
      </c>
    </row>
    <row r="53" spans="1:27" x14ac:dyDescent="0.3">
      <c r="A53" t="s">
        <v>9</v>
      </c>
    </row>
    <row r="54" spans="1:27" x14ac:dyDescent="0.3">
      <c r="B54" t="s">
        <v>10</v>
      </c>
      <c r="C54" t="s">
        <v>11</v>
      </c>
      <c r="D54" t="s">
        <v>12</v>
      </c>
      <c r="E54" t="s">
        <v>13</v>
      </c>
      <c r="F54" t="s">
        <v>14</v>
      </c>
      <c r="G54" t="s">
        <v>15</v>
      </c>
      <c r="H54" t="s">
        <v>16</v>
      </c>
      <c r="I54" t="s">
        <v>17</v>
      </c>
      <c r="K54" t="s">
        <v>18</v>
      </c>
      <c r="L54" t="s">
        <v>19</v>
      </c>
      <c r="M54" t="s">
        <v>20</v>
      </c>
      <c r="N54" t="s">
        <v>21</v>
      </c>
      <c r="O54" t="s">
        <v>22</v>
      </c>
      <c r="P54" t="s">
        <v>23</v>
      </c>
      <c r="Q54" t="s">
        <v>24</v>
      </c>
      <c r="R54" t="s">
        <v>25</v>
      </c>
      <c r="T54" t="s">
        <v>26</v>
      </c>
      <c r="U54" t="s">
        <v>27</v>
      </c>
      <c r="V54" t="s">
        <v>28</v>
      </c>
      <c r="W54" t="s">
        <v>29</v>
      </c>
      <c r="X54" t="s">
        <v>30</v>
      </c>
      <c r="Y54" t="s">
        <v>31</v>
      </c>
      <c r="Z54" t="s">
        <v>32</v>
      </c>
      <c r="AA54" t="s">
        <v>33</v>
      </c>
    </row>
    <row r="55" spans="1:27" x14ac:dyDescent="0.3">
      <c r="A55" t="s">
        <v>6</v>
      </c>
      <c r="B55" s="1">
        <v>0.72314000000000001</v>
      </c>
      <c r="C55" s="1">
        <v>0.79752100000000004</v>
      </c>
      <c r="D55" s="1">
        <v>0.75413200000000002</v>
      </c>
      <c r="E55" s="1">
        <v>0.67355399999999999</v>
      </c>
      <c r="F55" s="1">
        <v>0.74793399999999999</v>
      </c>
      <c r="G55" s="1">
        <v>0.77272700000000005</v>
      </c>
      <c r="H55" s="1">
        <v>0.70247899999999996</v>
      </c>
      <c r="I55" s="1">
        <v>0.738784</v>
      </c>
      <c r="J55">
        <f>_xlfn.STDEV.S(C55:H55)</f>
        <v>4.5724540541887015E-2</v>
      </c>
      <c r="K55" s="1">
        <v>0.46281</v>
      </c>
      <c r="L55" s="1">
        <v>0.62396700000000005</v>
      </c>
      <c r="M55" s="1">
        <v>0.59297500000000003</v>
      </c>
      <c r="N55" s="1">
        <v>0.42562</v>
      </c>
      <c r="O55" s="1">
        <v>0.51652900000000002</v>
      </c>
      <c r="P55" s="1">
        <v>0.58677699999999999</v>
      </c>
      <c r="Q55" s="1">
        <v>0.55578499999999997</v>
      </c>
      <c r="R55" s="1">
        <v>0.53778000000000004</v>
      </c>
      <c r="S55" s="1"/>
      <c r="T55" s="1">
        <v>0.402893</v>
      </c>
      <c r="U55" s="1">
        <v>0.57438</v>
      </c>
      <c r="V55" s="1">
        <v>0.49380200000000002</v>
      </c>
      <c r="W55" s="1">
        <v>0.35124</v>
      </c>
      <c r="X55" s="1">
        <v>0.48966900000000002</v>
      </c>
      <c r="Y55" s="1">
        <v>0.50619800000000004</v>
      </c>
      <c r="Z55" s="1">
        <v>0.52479299999999995</v>
      </c>
      <c r="AA55" s="1">
        <v>0.47756799999999999</v>
      </c>
    </row>
    <row r="56" spans="1:27" x14ac:dyDescent="0.3">
      <c r="A56" t="s">
        <v>7</v>
      </c>
      <c r="B56" s="1">
        <v>0.66322300000000001</v>
      </c>
      <c r="C56" s="1">
        <v>0.77685999999999999</v>
      </c>
      <c r="D56" s="1">
        <v>0.73347099999999998</v>
      </c>
      <c r="E56" s="1">
        <v>0.59917399999999998</v>
      </c>
      <c r="F56" s="1">
        <v>0.70661200000000002</v>
      </c>
      <c r="G56" s="1">
        <v>0.72933899999999996</v>
      </c>
      <c r="H56" s="1">
        <v>0.67768600000000001</v>
      </c>
      <c r="I56" s="1">
        <v>0.69805200000000001</v>
      </c>
      <c r="J56">
        <f t="shared" ref="J56:J108" si="11">_xlfn.STDEV.S(C56:H56)</f>
        <v>6.0838805188793775E-2</v>
      </c>
      <c r="K56" s="1">
        <v>0.64876</v>
      </c>
      <c r="L56" s="1">
        <v>0.764463</v>
      </c>
      <c r="M56" s="1">
        <v>0.71281000000000005</v>
      </c>
      <c r="N56" s="1">
        <v>0.60950400000000005</v>
      </c>
      <c r="O56" s="1">
        <v>0.69421500000000003</v>
      </c>
      <c r="P56" s="1">
        <v>0.73966900000000002</v>
      </c>
      <c r="Q56" s="1">
        <v>0.72933899999999996</v>
      </c>
      <c r="R56" s="1">
        <v>0.69982299999999997</v>
      </c>
      <c r="S56" s="1"/>
      <c r="T56" s="1">
        <v>0.39462799999999998</v>
      </c>
      <c r="U56" s="1">
        <v>0.58264499999999997</v>
      </c>
      <c r="V56" s="1">
        <v>0.49173600000000001</v>
      </c>
      <c r="W56" s="1">
        <v>0.34917399999999998</v>
      </c>
      <c r="X56" s="1">
        <v>0.485537</v>
      </c>
      <c r="Y56" s="1">
        <v>0.52892600000000001</v>
      </c>
      <c r="Z56" s="1">
        <v>0.51239699999999999</v>
      </c>
      <c r="AA56" s="1">
        <v>0.47786299999999998</v>
      </c>
    </row>
    <row r="57" spans="1:27" x14ac:dyDescent="0.3">
      <c r="A57" t="s">
        <v>8</v>
      </c>
      <c r="B57" s="1">
        <v>0.65082600000000002</v>
      </c>
      <c r="C57" s="1">
        <v>0.73966900000000002</v>
      </c>
      <c r="D57" s="1">
        <v>0.65082600000000002</v>
      </c>
      <c r="E57" s="1">
        <v>0.52685999999999999</v>
      </c>
      <c r="F57" s="1">
        <v>0.65495899999999996</v>
      </c>
      <c r="G57" s="1">
        <v>0.71900799999999998</v>
      </c>
      <c r="H57" s="1">
        <v>0.60950400000000005</v>
      </c>
      <c r="I57" s="1">
        <v>0.65023600000000004</v>
      </c>
      <c r="J57">
        <f t="shared" si="11"/>
        <v>7.6982049187240331E-2</v>
      </c>
      <c r="K57" s="1">
        <v>0.50619800000000004</v>
      </c>
      <c r="L57" s="1">
        <v>0.63016499999999998</v>
      </c>
      <c r="M57" s="1">
        <v>0.64256199999999997</v>
      </c>
      <c r="N57" s="1">
        <v>0.48966900000000002</v>
      </c>
      <c r="O57" s="1">
        <v>0.56818199999999996</v>
      </c>
      <c r="P57" s="1">
        <v>0.63429800000000003</v>
      </c>
      <c r="Q57" s="1">
        <v>0.58471099999999998</v>
      </c>
      <c r="R57" s="1">
        <v>0.57939799999999997</v>
      </c>
      <c r="S57" s="1"/>
      <c r="T57" s="1">
        <v>0.64049599999999995</v>
      </c>
      <c r="U57" s="1">
        <v>0.63636400000000004</v>
      </c>
      <c r="V57" s="1">
        <v>0.67355399999999999</v>
      </c>
      <c r="W57" s="1">
        <v>0.68594999999999995</v>
      </c>
      <c r="X57" s="1">
        <v>0.559917</v>
      </c>
      <c r="Y57" s="1">
        <v>0.66735500000000003</v>
      </c>
      <c r="Z57" s="1">
        <v>0.73140499999999997</v>
      </c>
      <c r="AA57" s="1">
        <v>0.65643399999999996</v>
      </c>
    </row>
    <row r="59" spans="1:27" x14ac:dyDescent="0.3">
      <c r="A59" t="s">
        <v>34</v>
      </c>
    </row>
    <row r="60" spans="1:27" x14ac:dyDescent="0.3">
      <c r="A60" t="s">
        <v>6</v>
      </c>
      <c r="B60" s="1">
        <v>0.690083</v>
      </c>
      <c r="C60" s="1">
        <v>0.79545500000000002</v>
      </c>
      <c r="D60" s="1">
        <v>0.73347099999999998</v>
      </c>
      <c r="E60" s="1">
        <v>0.67975200000000002</v>
      </c>
      <c r="F60" s="1">
        <v>0.71487599999999996</v>
      </c>
      <c r="G60" s="1">
        <v>0.75413200000000002</v>
      </c>
      <c r="H60" s="1">
        <v>0.70247899999999996</v>
      </c>
      <c r="I60" s="1">
        <v>0.72432099999999999</v>
      </c>
      <c r="J60">
        <f t="shared" si="11"/>
        <v>4.0962802817922514E-2</v>
      </c>
      <c r="K60" s="1">
        <v>0.39049600000000001</v>
      </c>
      <c r="L60" s="1">
        <v>0.49173600000000001</v>
      </c>
      <c r="M60" s="1">
        <v>0.448347</v>
      </c>
      <c r="N60" s="1">
        <v>0.34297499999999997</v>
      </c>
      <c r="O60" s="1">
        <v>0.36570200000000003</v>
      </c>
      <c r="P60" s="1">
        <v>0.48760300000000001</v>
      </c>
      <c r="Q60" s="1">
        <v>0.44421500000000003</v>
      </c>
      <c r="R60" s="1">
        <v>0.42443900000000001</v>
      </c>
      <c r="S60" s="1"/>
      <c r="T60" s="1">
        <v>0.38843</v>
      </c>
      <c r="U60" s="1">
        <v>0.57851200000000003</v>
      </c>
      <c r="V60" s="1">
        <v>0.45247900000000002</v>
      </c>
      <c r="W60" s="1">
        <v>0.39462799999999998</v>
      </c>
      <c r="X60" s="1">
        <v>0.46487600000000001</v>
      </c>
      <c r="Y60" s="1">
        <v>0.51033099999999998</v>
      </c>
      <c r="Z60" s="1">
        <v>0.47933900000000002</v>
      </c>
      <c r="AA60" s="1">
        <v>0.46694200000000002</v>
      </c>
    </row>
    <row r="61" spans="1:27" x14ac:dyDescent="0.3">
      <c r="A61" t="s">
        <v>7</v>
      </c>
      <c r="B61" s="1">
        <v>0.70041299999999995</v>
      </c>
      <c r="C61" s="1">
        <v>0.79545500000000002</v>
      </c>
      <c r="D61" s="1">
        <v>0.75413200000000002</v>
      </c>
      <c r="E61" s="1">
        <v>0.67562</v>
      </c>
      <c r="F61" s="1">
        <v>0.72107399999999999</v>
      </c>
      <c r="G61" s="1">
        <v>0.75619800000000004</v>
      </c>
      <c r="H61" s="1">
        <v>0.72107399999999999</v>
      </c>
      <c r="I61" s="1">
        <v>0.73199499999999995</v>
      </c>
      <c r="J61">
        <f t="shared" si="11"/>
        <v>4.0874033412016827E-2</v>
      </c>
      <c r="K61" s="1">
        <v>0.52479299999999995</v>
      </c>
      <c r="L61" s="1">
        <v>0.65082600000000002</v>
      </c>
      <c r="M61" s="1">
        <v>0.61570199999999997</v>
      </c>
      <c r="N61" s="1">
        <v>0.45041300000000001</v>
      </c>
      <c r="O61" s="1">
        <v>0.53512400000000004</v>
      </c>
      <c r="P61" s="1">
        <v>0.55785099999999999</v>
      </c>
      <c r="Q61" s="1">
        <v>0.56611599999999995</v>
      </c>
      <c r="R61" s="1">
        <v>0.55726100000000001</v>
      </c>
      <c r="S61" s="1"/>
      <c r="T61" s="1">
        <v>0.38429799999999997</v>
      </c>
      <c r="U61" s="1">
        <v>0.58677699999999999</v>
      </c>
      <c r="V61" s="1">
        <v>0.45454499999999998</v>
      </c>
      <c r="W61" s="1">
        <v>0.38429799999999997</v>
      </c>
      <c r="X61" s="1">
        <v>0.46900799999999998</v>
      </c>
      <c r="Y61" s="1">
        <v>0.51652900000000002</v>
      </c>
      <c r="Z61" s="1">
        <v>0.47314000000000001</v>
      </c>
      <c r="AA61" s="1">
        <v>0.46694200000000002</v>
      </c>
    </row>
    <row r="62" spans="1:27" x14ac:dyDescent="0.3">
      <c r="A62" t="s">
        <v>8</v>
      </c>
      <c r="B62" s="1">
        <v>0.71900799999999998</v>
      </c>
      <c r="C62" s="1">
        <v>0.80165299999999995</v>
      </c>
      <c r="D62" s="1">
        <v>0.66322300000000001</v>
      </c>
      <c r="E62" s="1">
        <v>0.72314000000000001</v>
      </c>
      <c r="F62" s="1">
        <v>0.72314000000000001</v>
      </c>
      <c r="G62" s="1">
        <v>0.72107399999999999</v>
      </c>
      <c r="H62" s="1">
        <v>0.66942100000000004</v>
      </c>
      <c r="I62" s="1">
        <v>0.71723700000000001</v>
      </c>
      <c r="J62">
        <f t="shared" si="11"/>
        <v>4.982736949676015E-2</v>
      </c>
      <c r="K62" s="1">
        <v>0.39256200000000002</v>
      </c>
      <c r="L62" s="1">
        <v>0.67768600000000001</v>
      </c>
      <c r="M62" s="1">
        <v>0.57438</v>
      </c>
      <c r="N62" s="1">
        <v>0.51859500000000003</v>
      </c>
      <c r="O62" s="1">
        <v>0.52685999999999999</v>
      </c>
      <c r="P62" s="1">
        <v>0.61156999999999995</v>
      </c>
      <c r="Q62" s="1">
        <v>0.50413200000000002</v>
      </c>
      <c r="R62" s="1">
        <v>0.54368399999999995</v>
      </c>
      <c r="S62" s="1"/>
      <c r="T62" s="1">
        <v>0.75</v>
      </c>
      <c r="U62" s="1">
        <v>0.440083</v>
      </c>
      <c r="V62" s="1">
        <v>0.73966900000000002</v>
      </c>
      <c r="W62" s="1">
        <v>0.46694200000000002</v>
      </c>
      <c r="X62" s="1">
        <v>0.59297500000000003</v>
      </c>
      <c r="Y62" s="1">
        <v>0.57644600000000001</v>
      </c>
      <c r="Z62" s="1">
        <v>0.64256199999999997</v>
      </c>
      <c r="AA62" s="1">
        <v>0.60124</v>
      </c>
    </row>
    <row r="64" spans="1:27" x14ac:dyDescent="0.3">
      <c r="A64" t="s">
        <v>35</v>
      </c>
    </row>
    <row r="65" spans="1:27" x14ac:dyDescent="0.3">
      <c r="A65" t="s">
        <v>6</v>
      </c>
      <c r="B65" s="1">
        <v>0.81818199999999996</v>
      </c>
      <c r="C65" s="1">
        <v>0.83677699999999999</v>
      </c>
      <c r="D65" s="1">
        <v>0.82644600000000001</v>
      </c>
      <c r="E65" s="1">
        <v>0.78925599999999996</v>
      </c>
      <c r="F65" s="1">
        <v>0.85950400000000005</v>
      </c>
      <c r="G65" s="1">
        <v>0.87396700000000005</v>
      </c>
      <c r="H65" s="1">
        <v>0.81818199999999996</v>
      </c>
      <c r="I65" s="1">
        <v>0.83175900000000003</v>
      </c>
      <c r="J65">
        <f t="shared" si="11"/>
        <v>3.0215299124781179E-2</v>
      </c>
      <c r="K65" s="1">
        <v>0.39669399999999999</v>
      </c>
      <c r="L65" s="1">
        <v>0.42148799999999997</v>
      </c>
      <c r="M65" s="1">
        <v>0.36570200000000003</v>
      </c>
      <c r="N65" s="1">
        <v>0.36570200000000003</v>
      </c>
      <c r="O65" s="1">
        <v>0.39669399999999999</v>
      </c>
      <c r="P65" s="1">
        <v>0.37396699999999999</v>
      </c>
      <c r="Q65" s="1">
        <v>0.37603300000000001</v>
      </c>
      <c r="R65" s="1">
        <v>0.385183</v>
      </c>
      <c r="S65" s="1"/>
      <c r="T65" s="1">
        <v>0.61570199999999997</v>
      </c>
      <c r="U65" s="1">
        <v>0.64669399999999999</v>
      </c>
      <c r="V65" s="1">
        <v>0.64669399999999999</v>
      </c>
      <c r="W65" s="1">
        <v>0.66735500000000003</v>
      </c>
      <c r="X65" s="1">
        <v>0.61156999999999995</v>
      </c>
      <c r="Y65" s="1">
        <v>0.63636400000000004</v>
      </c>
      <c r="Z65" s="1">
        <v>0.60124</v>
      </c>
      <c r="AA65" s="1">
        <v>0.63223099999999999</v>
      </c>
    </row>
    <row r="66" spans="1:27" x14ac:dyDescent="0.3">
      <c r="A66" t="s">
        <v>7</v>
      </c>
      <c r="B66" s="1">
        <v>0.85330600000000001</v>
      </c>
      <c r="C66" s="1">
        <v>0.84917399999999998</v>
      </c>
      <c r="D66" s="1">
        <v>0.83264499999999997</v>
      </c>
      <c r="E66" s="1">
        <v>0.80578499999999997</v>
      </c>
      <c r="F66" s="1">
        <v>0.88843000000000005</v>
      </c>
      <c r="G66" s="1">
        <v>0.90909099999999998</v>
      </c>
      <c r="H66" s="1">
        <v>0.83884300000000001</v>
      </c>
      <c r="I66" s="1">
        <v>0.85389599999999999</v>
      </c>
      <c r="J66">
        <f t="shared" si="11"/>
        <v>3.8089867905608019E-2</v>
      </c>
      <c r="K66" s="1">
        <v>0.53925599999999996</v>
      </c>
      <c r="L66" s="1">
        <v>0.79545500000000002</v>
      </c>
      <c r="M66" s="1">
        <v>0.56611599999999995</v>
      </c>
      <c r="N66" s="1">
        <v>0.56198300000000001</v>
      </c>
      <c r="O66" s="1">
        <v>0.75413200000000002</v>
      </c>
      <c r="P66" s="1">
        <v>0.65702499999999997</v>
      </c>
      <c r="Q66" s="1">
        <v>0.78925599999999996</v>
      </c>
      <c r="R66" s="1">
        <v>0.66617499999999996</v>
      </c>
      <c r="S66" s="1"/>
      <c r="T66" s="1">
        <v>0.61570199999999997</v>
      </c>
      <c r="U66" s="1">
        <v>0.65909099999999998</v>
      </c>
      <c r="V66" s="1">
        <v>0.64049599999999995</v>
      </c>
      <c r="W66" s="1">
        <v>0.64669399999999999</v>
      </c>
      <c r="X66" s="1">
        <v>0.60950400000000005</v>
      </c>
      <c r="Y66" s="1">
        <v>0.62190100000000004</v>
      </c>
      <c r="Z66" s="1">
        <v>0.59297500000000003</v>
      </c>
      <c r="AA66" s="1">
        <v>0.62662300000000004</v>
      </c>
    </row>
    <row r="67" spans="1:27" x14ac:dyDescent="0.3">
      <c r="A67" t="s">
        <v>8</v>
      </c>
      <c r="B67" s="1">
        <v>0.83057899999999996</v>
      </c>
      <c r="C67" s="1">
        <v>0.86983500000000002</v>
      </c>
      <c r="D67" s="1">
        <v>0.78718999999999995</v>
      </c>
      <c r="E67" s="1">
        <v>0.82851200000000003</v>
      </c>
      <c r="F67" s="1">
        <v>0.87190100000000004</v>
      </c>
      <c r="G67" s="1">
        <v>0.85950400000000005</v>
      </c>
      <c r="H67" s="1">
        <v>0.809917</v>
      </c>
      <c r="I67" s="1">
        <v>0.83677699999999999</v>
      </c>
      <c r="J67">
        <f t="shared" si="11"/>
        <v>3.4886338858737653E-2</v>
      </c>
      <c r="K67" s="1">
        <v>0.69628100000000004</v>
      </c>
      <c r="L67" s="1">
        <v>0.79958700000000005</v>
      </c>
      <c r="M67" s="1">
        <v>0.75</v>
      </c>
      <c r="N67" s="1">
        <v>0.76033099999999998</v>
      </c>
      <c r="O67" s="1">
        <v>0.84504100000000004</v>
      </c>
      <c r="P67" s="1">
        <v>0.77272700000000005</v>
      </c>
      <c r="Q67" s="1">
        <v>0.75619800000000004</v>
      </c>
      <c r="R67" s="1">
        <v>0.76859500000000003</v>
      </c>
      <c r="S67" s="1"/>
      <c r="T67" s="1">
        <v>0.46281</v>
      </c>
      <c r="U67" s="1">
        <v>0.45661200000000002</v>
      </c>
      <c r="V67" s="1">
        <v>0.64462799999999998</v>
      </c>
      <c r="W67" s="1">
        <v>0.53099200000000002</v>
      </c>
      <c r="X67" s="1">
        <v>0.54338799999999998</v>
      </c>
      <c r="Y67" s="1">
        <v>0.65495899999999996</v>
      </c>
      <c r="Z67" s="1">
        <v>0.53925599999999996</v>
      </c>
      <c r="AA67" s="1">
        <v>0.54752100000000004</v>
      </c>
    </row>
    <row r="69" spans="1:27" x14ac:dyDescent="0.3">
      <c r="A69" t="s">
        <v>36</v>
      </c>
    </row>
    <row r="70" spans="1:27" x14ac:dyDescent="0.3">
      <c r="A70" t="s">
        <v>6</v>
      </c>
      <c r="B70" s="1">
        <v>0.82024799999999998</v>
      </c>
      <c r="C70" s="1">
        <v>0.83264499999999997</v>
      </c>
      <c r="D70" s="1">
        <v>0.82438</v>
      </c>
      <c r="E70" s="1">
        <v>0.78925599999999996</v>
      </c>
      <c r="F70" s="1">
        <v>0.85950400000000005</v>
      </c>
      <c r="G70" s="1">
        <v>0.89669399999999999</v>
      </c>
      <c r="H70" s="1">
        <v>0.81818199999999996</v>
      </c>
      <c r="I70" s="1">
        <v>0.83441600000000005</v>
      </c>
      <c r="J70">
        <f t="shared" si="11"/>
        <v>3.7098091370940743E-2</v>
      </c>
      <c r="K70" s="1">
        <v>0.81405000000000005</v>
      </c>
      <c r="L70" s="1">
        <v>0.82024799999999998</v>
      </c>
      <c r="M70" s="1">
        <v>0.83264499999999997</v>
      </c>
      <c r="N70" s="1">
        <v>0.79338799999999998</v>
      </c>
      <c r="O70" s="1">
        <v>0.86363599999999996</v>
      </c>
      <c r="P70" s="1">
        <v>0.88016499999999998</v>
      </c>
      <c r="Q70" s="1">
        <v>0.81198300000000001</v>
      </c>
      <c r="R70" s="1">
        <v>0.830874</v>
      </c>
      <c r="S70" s="1"/>
      <c r="T70" s="1">
        <v>0.53512400000000004</v>
      </c>
      <c r="U70" s="1">
        <v>0.53718999999999995</v>
      </c>
      <c r="V70" s="1">
        <v>0.514463</v>
      </c>
      <c r="W70" s="1">
        <v>0.55165299999999995</v>
      </c>
      <c r="X70" s="1">
        <v>0.46900799999999998</v>
      </c>
      <c r="Y70" s="1">
        <v>0.54752100000000004</v>
      </c>
      <c r="Z70" s="1">
        <v>0.54338799999999998</v>
      </c>
      <c r="AA70" s="1">
        <v>0.528335</v>
      </c>
    </row>
    <row r="71" spans="1:27" x14ac:dyDescent="0.3">
      <c r="A71" t="s">
        <v>7</v>
      </c>
      <c r="B71" s="1">
        <v>0.84297500000000003</v>
      </c>
      <c r="C71" s="1">
        <v>0.85330600000000001</v>
      </c>
      <c r="D71" s="1">
        <v>0.84710700000000005</v>
      </c>
      <c r="E71" s="1">
        <v>0.80165299999999995</v>
      </c>
      <c r="F71" s="1">
        <v>0.86570199999999997</v>
      </c>
      <c r="G71" s="1">
        <v>0.89256199999999997</v>
      </c>
      <c r="H71" s="1">
        <v>0.84297500000000003</v>
      </c>
      <c r="I71" s="1">
        <v>0.84946900000000003</v>
      </c>
      <c r="J71">
        <f t="shared" si="11"/>
        <v>2.9874197103297466E-2</v>
      </c>
      <c r="K71" s="1">
        <v>0.81198300000000001</v>
      </c>
      <c r="L71" s="1">
        <v>0.81818199999999996</v>
      </c>
      <c r="M71" s="1">
        <v>0.84710700000000005</v>
      </c>
      <c r="N71" s="1">
        <v>0.80165299999999995</v>
      </c>
      <c r="O71" s="1">
        <v>0.87396700000000005</v>
      </c>
      <c r="P71" s="1">
        <v>0.89256199999999997</v>
      </c>
      <c r="Q71" s="1">
        <v>0.82644600000000001</v>
      </c>
      <c r="R71" s="1">
        <v>0.83884300000000001</v>
      </c>
      <c r="S71" s="1"/>
      <c r="T71" s="1">
        <v>0.53925599999999996</v>
      </c>
      <c r="U71" s="1">
        <v>0.53512400000000004</v>
      </c>
      <c r="V71" s="1">
        <v>0.51033099999999998</v>
      </c>
      <c r="W71" s="1">
        <v>0.54752100000000004</v>
      </c>
      <c r="X71" s="1">
        <v>0.46900799999999998</v>
      </c>
      <c r="Y71" s="1">
        <v>0.54338799999999998</v>
      </c>
      <c r="Z71" s="1">
        <v>0.53718999999999995</v>
      </c>
      <c r="AA71" s="1">
        <v>0.52597400000000005</v>
      </c>
    </row>
    <row r="72" spans="1:27" x14ac:dyDescent="0.3">
      <c r="A72" t="s">
        <v>8</v>
      </c>
      <c r="B72" s="1">
        <v>0.82851200000000003</v>
      </c>
      <c r="C72" s="1">
        <v>0.87603299999999995</v>
      </c>
      <c r="D72" s="1">
        <v>0.79338799999999998</v>
      </c>
      <c r="E72" s="1">
        <v>0.85537200000000002</v>
      </c>
      <c r="F72" s="1">
        <v>0.88843000000000005</v>
      </c>
      <c r="G72" s="1">
        <v>0.87603299999999995</v>
      </c>
      <c r="H72" s="1">
        <v>0.84710700000000005</v>
      </c>
      <c r="I72" s="1">
        <v>0.85212500000000002</v>
      </c>
      <c r="J72">
        <f t="shared" si="11"/>
        <v>3.4217152112646664E-2</v>
      </c>
      <c r="K72" s="1">
        <v>0.78512400000000004</v>
      </c>
      <c r="L72" s="1">
        <v>0.78512400000000004</v>
      </c>
      <c r="M72" s="1">
        <v>0.83264499999999997</v>
      </c>
      <c r="N72" s="1">
        <v>0.83264499999999997</v>
      </c>
      <c r="O72" s="1">
        <v>0.88016499999999998</v>
      </c>
      <c r="P72" s="1">
        <v>0.85124</v>
      </c>
      <c r="Q72" s="1">
        <v>0.81611599999999995</v>
      </c>
      <c r="R72" s="1">
        <v>0.82615099999999997</v>
      </c>
      <c r="S72" s="1"/>
      <c r="T72" s="1">
        <v>0.54545500000000002</v>
      </c>
      <c r="U72" s="1">
        <v>0.59297500000000003</v>
      </c>
      <c r="V72" s="1">
        <v>0.68388400000000005</v>
      </c>
      <c r="W72" s="1">
        <v>0.67355399999999999</v>
      </c>
      <c r="X72" s="1">
        <v>0.64462799999999998</v>
      </c>
      <c r="Y72" s="1">
        <v>0.71694199999999997</v>
      </c>
      <c r="Z72" s="1">
        <v>0.66322300000000001</v>
      </c>
      <c r="AA72" s="1">
        <v>0.64580899999999997</v>
      </c>
    </row>
    <row r="74" spans="1:27" x14ac:dyDescent="0.3">
      <c r="A74" t="s">
        <v>51</v>
      </c>
    </row>
    <row r="75" spans="1:27" x14ac:dyDescent="0.3">
      <c r="C75" t="s">
        <v>9</v>
      </c>
      <c r="D75" t="s">
        <v>34</v>
      </c>
      <c r="E75" t="s">
        <v>35</v>
      </c>
      <c r="F75" t="s">
        <v>36</v>
      </c>
      <c r="G75" t="s">
        <v>9</v>
      </c>
      <c r="H75" t="s">
        <v>34</v>
      </c>
      <c r="I75" t="s">
        <v>35</v>
      </c>
      <c r="K75" t="s">
        <v>36</v>
      </c>
      <c r="L75" t="s">
        <v>9</v>
      </c>
      <c r="M75" t="s">
        <v>34</v>
      </c>
      <c r="N75" t="s">
        <v>35</v>
      </c>
      <c r="O75" t="s">
        <v>36</v>
      </c>
    </row>
    <row r="76" spans="1:27" x14ac:dyDescent="0.3">
      <c r="A76" t="s">
        <v>169</v>
      </c>
      <c r="B76" t="s">
        <v>1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44</v>
      </c>
      <c r="K76" t="s">
        <v>45</v>
      </c>
      <c r="L76" t="s">
        <v>46</v>
      </c>
      <c r="M76" t="s">
        <v>47</v>
      </c>
      <c r="N76" t="s">
        <v>48</v>
      </c>
      <c r="O76" t="s">
        <v>49</v>
      </c>
    </row>
    <row r="77" spans="1:27" x14ac:dyDescent="0.3">
      <c r="A77" t="s">
        <v>6</v>
      </c>
      <c r="B77" s="1">
        <v>0.5</v>
      </c>
      <c r="C77" s="1">
        <v>0.738784</v>
      </c>
      <c r="D77" s="1">
        <v>0.72432099999999999</v>
      </c>
      <c r="E77" s="1">
        <v>0.83175900000000003</v>
      </c>
      <c r="F77" s="1">
        <v>0.83441600000000005</v>
      </c>
      <c r="G77" s="1">
        <v>0.53778000000000004</v>
      </c>
      <c r="H77" s="1">
        <v>0.42443900000000001</v>
      </c>
      <c r="I77" s="1">
        <v>0.385183</v>
      </c>
      <c r="K77" s="1">
        <v>0.830874</v>
      </c>
      <c r="L77" s="1">
        <v>0.47756799999999999</v>
      </c>
      <c r="M77" s="1">
        <v>0.46694200000000002</v>
      </c>
      <c r="N77" s="1">
        <v>0.63223099999999999</v>
      </c>
      <c r="O77" s="1">
        <v>0.528335</v>
      </c>
    </row>
    <row r="78" spans="1:27" x14ac:dyDescent="0.3">
      <c r="A78" t="s">
        <v>7</v>
      </c>
      <c r="B78" s="1">
        <v>0.59435300000000002</v>
      </c>
      <c r="C78" s="1">
        <v>0.69805200000000001</v>
      </c>
      <c r="D78" s="1">
        <v>0.73199499999999995</v>
      </c>
      <c r="E78" s="1">
        <v>0.85389599999999999</v>
      </c>
      <c r="F78" s="1">
        <v>0.84946900000000003</v>
      </c>
      <c r="G78" s="1">
        <v>0.69982299999999997</v>
      </c>
      <c r="H78" s="1">
        <v>0.55726100000000001</v>
      </c>
      <c r="I78" s="1">
        <v>0.66617499999999996</v>
      </c>
      <c r="K78" s="1">
        <v>0.83884300000000001</v>
      </c>
      <c r="L78" s="1">
        <v>0.47786299999999998</v>
      </c>
      <c r="M78" s="1">
        <v>0.46694200000000002</v>
      </c>
      <c r="N78" s="1">
        <v>0.62662300000000004</v>
      </c>
      <c r="O78" s="1">
        <v>0.52597400000000005</v>
      </c>
    </row>
    <row r="79" spans="1:27" x14ac:dyDescent="0.3">
      <c r="A79" t="s">
        <v>8</v>
      </c>
      <c r="B79" s="1">
        <v>0.81749300000000003</v>
      </c>
      <c r="C79" s="1">
        <v>0.65023600000000004</v>
      </c>
      <c r="D79" s="1">
        <v>0.71723700000000001</v>
      </c>
      <c r="E79" s="1">
        <v>0.83677699999999999</v>
      </c>
      <c r="F79" s="1">
        <v>0.85212500000000002</v>
      </c>
      <c r="G79" s="1">
        <v>0.57939799999999997</v>
      </c>
      <c r="H79" s="1">
        <v>0.54368399999999995</v>
      </c>
      <c r="I79" s="1">
        <v>0.76859500000000003</v>
      </c>
      <c r="K79" s="1">
        <v>0.82615099999999997</v>
      </c>
      <c r="L79" s="1">
        <v>0.65643399999999996</v>
      </c>
      <c r="M79" s="1">
        <v>0.60124</v>
      </c>
      <c r="N79" s="1">
        <v>0.54752100000000004</v>
      </c>
      <c r="O79" s="1">
        <v>0.64580899999999997</v>
      </c>
    </row>
    <row r="82" spans="1:27" x14ac:dyDescent="0.3">
      <c r="A82" s="2" t="s">
        <v>52</v>
      </c>
    </row>
    <row r="83" spans="1:27" x14ac:dyDescent="0.3">
      <c r="C83" t="s">
        <v>1</v>
      </c>
    </row>
    <row r="84" spans="1:27" x14ac:dyDescent="0.3">
      <c r="B84" t="s">
        <v>2</v>
      </c>
      <c r="C84" t="s">
        <v>3</v>
      </c>
      <c r="D84" t="s">
        <v>4</v>
      </c>
      <c r="E84" t="s">
        <v>5</v>
      </c>
    </row>
    <row r="85" spans="1:27" x14ac:dyDescent="0.3">
      <c r="A85" t="s">
        <v>6</v>
      </c>
      <c r="B85" s="1">
        <v>0.5</v>
      </c>
      <c r="C85" s="1">
        <v>0.5</v>
      </c>
      <c r="D85" s="1">
        <v>0.5</v>
      </c>
      <c r="E85" s="1">
        <v>0.5</v>
      </c>
    </row>
    <row r="86" spans="1:27" x14ac:dyDescent="0.3">
      <c r="A86" t="s">
        <v>7</v>
      </c>
      <c r="B86" s="1">
        <v>0.55638200000000004</v>
      </c>
      <c r="C86" s="1">
        <v>0.66125</v>
      </c>
      <c r="D86" s="1">
        <v>0.59453900000000004</v>
      </c>
      <c r="E86" s="1">
        <v>0.60405699999999996</v>
      </c>
    </row>
    <row r="87" spans="1:27" x14ac:dyDescent="0.3">
      <c r="A87" t="s">
        <v>8</v>
      </c>
      <c r="B87" s="1">
        <v>0.87756599999999996</v>
      </c>
      <c r="C87" s="1">
        <v>0.88730299999999995</v>
      </c>
      <c r="D87" s="1">
        <v>0.91078899999999996</v>
      </c>
      <c r="E87" s="1">
        <v>0.89188599999999996</v>
      </c>
    </row>
    <row r="89" spans="1:27" x14ac:dyDescent="0.3">
      <c r="A89" t="s">
        <v>9</v>
      </c>
    </row>
    <row r="90" spans="1:27" x14ac:dyDescent="0.3">
      <c r="B90" t="s">
        <v>10</v>
      </c>
      <c r="C90" t="s">
        <v>11</v>
      </c>
      <c r="D90" t="s">
        <v>12</v>
      </c>
      <c r="E90" t="s">
        <v>13</v>
      </c>
      <c r="F90" t="s">
        <v>14</v>
      </c>
      <c r="G90" t="s">
        <v>15</v>
      </c>
      <c r="H90" t="s">
        <v>16</v>
      </c>
      <c r="I90" t="s">
        <v>17</v>
      </c>
      <c r="K90" t="s">
        <v>18</v>
      </c>
      <c r="L90" t="s">
        <v>19</v>
      </c>
      <c r="M90" t="s">
        <v>20</v>
      </c>
      <c r="N90" t="s">
        <v>21</v>
      </c>
      <c r="O90" t="s">
        <v>22</v>
      </c>
      <c r="P90" t="s">
        <v>23</v>
      </c>
      <c r="Q90" t="s">
        <v>24</v>
      </c>
      <c r="R90" t="s">
        <v>25</v>
      </c>
      <c r="T90" t="s">
        <v>26</v>
      </c>
      <c r="U90" t="s">
        <v>27</v>
      </c>
      <c r="V90" t="s">
        <v>28</v>
      </c>
      <c r="W90" t="s">
        <v>29</v>
      </c>
      <c r="X90" t="s">
        <v>30</v>
      </c>
      <c r="Y90" t="s">
        <v>31</v>
      </c>
      <c r="Z90" t="s">
        <v>32</v>
      </c>
      <c r="AA90" t="s">
        <v>33</v>
      </c>
    </row>
    <row r="91" spans="1:27" x14ac:dyDescent="0.3">
      <c r="A91" t="s">
        <v>6</v>
      </c>
      <c r="B91">
        <v>0.76618421052631502</v>
      </c>
      <c r="C91">
        <v>0.76881578947368401</v>
      </c>
      <c r="D91">
        <v>0.76789473684210496</v>
      </c>
      <c r="E91">
        <v>0.77144736842105199</v>
      </c>
      <c r="F91">
        <v>0.77124999999999999</v>
      </c>
      <c r="G91">
        <v>0.77315789473684204</v>
      </c>
      <c r="H91">
        <v>0.76842105263157801</v>
      </c>
      <c r="I91">
        <v>0.76959586466165397</v>
      </c>
      <c r="J91">
        <f t="shared" si="11"/>
        <v>2.0878183486750818E-3</v>
      </c>
      <c r="K91">
        <v>0.71756578947368399</v>
      </c>
      <c r="L91">
        <v>0.71901315789473597</v>
      </c>
      <c r="M91">
        <v>0.72105263157894695</v>
      </c>
      <c r="N91">
        <v>0.71782894736842096</v>
      </c>
      <c r="O91">
        <v>0.71697368421052599</v>
      </c>
      <c r="P91">
        <v>0.72065789499999999</v>
      </c>
      <c r="Q91">
        <v>0.72019736842105198</v>
      </c>
      <c r="R91">
        <v>0.71904135338345798</v>
      </c>
      <c r="T91">
        <v>0.80664473684210503</v>
      </c>
      <c r="U91">
        <v>0.80657894736842095</v>
      </c>
      <c r="V91">
        <v>0.80947368421052601</v>
      </c>
      <c r="W91">
        <v>0.81078947368420995</v>
      </c>
      <c r="X91">
        <v>0.80940789473684205</v>
      </c>
      <c r="Y91">
        <v>0.80934210526315697</v>
      </c>
      <c r="Z91">
        <v>0.80736842105263096</v>
      </c>
      <c r="AA91">
        <v>0.80851503759398402</v>
      </c>
    </row>
    <row r="92" spans="1:27" x14ac:dyDescent="0.3">
      <c r="A92" t="s">
        <v>7</v>
      </c>
      <c r="B92" s="1">
        <v>0.77585526315789399</v>
      </c>
      <c r="C92" s="1">
        <v>0.77651315789473596</v>
      </c>
      <c r="D92" s="1">
        <v>0.78078947368421003</v>
      </c>
      <c r="E92" s="1">
        <v>0.77921052631578902</v>
      </c>
      <c r="F92" s="1">
        <v>0.78111842105263096</v>
      </c>
      <c r="G92" s="1">
        <v>0.77401315789473601</v>
      </c>
      <c r="H92" s="1">
        <v>0.776644736842105</v>
      </c>
      <c r="I92" s="1">
        <v>0.77773499999999995</v>
      </c>
      <c r="J92">
        <f t="shared" si="11"/>
        <v>2.789246101275681E-3</v>
      </c>
      <c r="K92" s="1">
        <v>0.77105263157894699</v>
      </c>
      <c r="L92" s="1">
        <v>0.77249999999999996</v>
      </c>
      <c r="M92" s="1">
        <v>0.76026315789473597</v>
      </c>
      <c r="N92" s="1">
        <v>0.73052631578947302</v>
      </c>
      <c r="O92" s="1">
        <v>0.75098684210526301</v>
      </c>
      <c r="P92" s="1">
        <v>0.75585526315789398</v>
      </c>
      <c r="Q92" s="1">
        <v>0.73973684210526303</v>
      </c>
      <c r="R92" s="1">
        <v>0.75441729323308204</v>
      </c>
      <c r="S92" s="1"/>
      <c r="T92" s="1">
        <v>0.80585526315789402</v>
      </c>
      <c r="U92" s="1">
        <v>0.80625000000000002</v>
      </c>
      <c r="V92" s="1">
        <v>0.80710526315789399</v>
      </c>
      <c r="W92" s="1">
        <v>0.80802631578947304</v>
      </c>
      <c r="X92" s="1">
        <v>0.81138157894736795</v>
      </c>
      <c r="Y92" s="1">
        <v>0.80539473684210505</v>
      </c>
      <c r="Z92" s="1">
        <v>0.80651315789473599</v>
      </c>
      <c r="AA92" s="1">
        <v>0.80721799999999999</v>
      </c>
    </row>
    <row r="93" spans="1:27" x14ac:dyDescent="0.3">
      <c r="A93" t="s">
        <v>8</v>
      </c>
      <c r="B93">
        <v>0.73414473684210502</v>
      </c>
      <c r="C93">
        <v>0.74111842105263104</v>
      </c>
      <c r="D93">
        <v>0.75276315789473602</v>
      </c>
      <c r="E93">
        <v>0.727565789473684</v>
      </c>
      <c r="F93">
        <v>0.75328947368420995</v>
      </c>
      <c r="G93">
        <v>0.76276315789473603</v>
      </c>
      <c r="H93">
        <v>0.72105263157894695</v>
      </c>
      <c r="I93">
        <v>0.74181390977443595</v>
      </c>
      <c r="J93">
        <f t="shared" si="11"/>
        <v>1.6218299571694423E-2</v>
      </c>
      <c r="K93">
        <v>0.73210526315789404</v>
      </c>
      <c r="L93">
        <v>0.759407894736842</v>
      </c>
      <c r="M93">
        <v>0.73888157894736795</v>
      </c>
      <c r="N93">
        <v>0.72526315789473605</v>
      </c>
      <c r="O93">
        <v>0.749802631578947</v>
      </c>
      <c r="P93">
        <v>0.718157894736842</v>
      </c>
      <c r="Q93">
        <v>0.74250000000000005</v>
      </c>
      <c r="R93">
        <v>0.73801691729323304</v>
      </c>
      <c r="T93">
        <v>0.77967105299999995</v>
      </c>
      <c r="U93">
        <v>0.76407894736842097</v>
      </c>
      <c r="V93">
        <v>0.76111842105263094</v>
      </c>
      <c r="W93">
        <v>0.73276315789473601</v>
      </c>
      <c r="X93">
        <v>0.763026315789473</v>
      </c>
      <c r="Y93">
        <v>0.72953947368421002</v>
      </c>
      <c r="Z93">
        <v>0.77309210526315697</v>
      </c>
      <c r="AA93">
        <v>0.75761278195488702</v>
      </c>
    </row>
    <row r="95" spans="1:27" x14ac:dyDescent="0.3">
      <c r="A95" t="s">
        <v>34</v>
      </c>
    </row>
    <row r="96" spans="1:27" x14ac:dyDescent="0.3">
      <c r="A96" t="s">
        <v>6</v>
      </c>
      <c r="B96" s="1">
        <v>0.82822399999999996</v>
      </c>
      <c r="C96" s="1">
        <v>0.82631600000000005</v>
      </c>
      <c r="D96" s="1">
        <v>0.82506599999999997</v>
      </c>
      <c r="E96" s="1">
        <v>0.83177599999999996</v>
      </c>
      <c r="F96" s="1">
        <v>0.83065800000000001</v>
      </c>
      <c r="G96" s="1">
        <v>0.82980299999999996</v>
      </c>
      <c r="H96" s="1">
        <v>0.82651300000000005</v>
      </c>
      <c r="I96" s="1">
        <v>0.82833599999999996</v>
      </c>
      <c r="J96">
        <f t="shared" si="11"/>
        <v>2.7375813899620516E-3</v>
      </c>
      <c r="K96" s="1">
        <v>0.69276300000000002</v>
      </c>
      <c r="L96" s="1">
        <v>0.69473700000000005</v>
      </c>
      <c r="M96" s="1">
        <v>0.70138199999999995</v>
      </c>
      <c r="N96" s="1">
        <v>0.69210499999999997</v>
      </c>
      <c r="O96" s="1">
        <v>0.69289500000000004</v>
      </c>
      <c r="P96" s="1">
        <v>0.69203899999999996</v>
      </c>
      <c r="Q96" s="1">
        <v>0.704013</v>
      </c>
      <c r="R96" s="1">
        <v>0.69570500000000002</v>
      </c>
      <c r="S96" s="1"/>
      <c r="T96" s="1">
        <v>0.80164500000000005</v>
      </c>
      <c r="U96" s="1">
        <v>0.80059199999999997</v>
      </c>
      <c r="V96" s="1">
        <v>0.80006600000000005</v>
      </c>
      <c r="W96" s="1">
        <v>0.79947400000000002</v>
      </c>
      <c r="X96" s="1">
        <v>0.801118</v>
      </c>
      <c r="Y96" s="1">
        <v>0.801118</v>
      </c>
      <c r="Z96" s="1">
        <v>0.80085499999999998</v>
      </c>
      <c r="AA96" s="1">
        <v>0.80069500000000005</v>
      </c>
    </row>
    <row r="97" spans="1:27" x14ac:dyDescent="0.3">
      <c r="A97" t="s">
        <v>7</v>
      </c>
      <c r="B97" s="1">
        <v>0.85651299999999997</v>
      </c>
      <c r="C97" s="1">
        <v>0.85572400000000004</v>
      </c>
      <c r="D97" s="1">
        <v>0.85506599999999999</v>
      </c>
      <c r="E97" s="1">
        <v>0.855263</v>
      </c>
      <c r="F97" s="1">
        <v>0.85973699999999997</v>
      </c>
      <c r="G97" s="1">
        <v>0.85309199999999996</v>
      </c>
      <c r="H97" s="1">
        <v>0.85282899999999995</v>
      </c>
      <c r="I97" s="1">
        <v>0.85546100000000003</v>
      </c>
      <c r="J97">
        <f t="shared" si="11"/>
        <v>2.4860673696959043E-3</v>
      </c>
      <c r="K97" s="1">
        <v>0.67032899999999995</v>
      </c>
      <c r="L97" s="1">
        <v>0.68184199999999995</v>
      </c>
      <c r="M97" s="1">
        <v>0.63447399999999998</v>
      </c>
      <c r="N97" s="1">
        <v>0.69671099999999997</v>
      </c>
      <c r="O97" s="1">
        <v>0.69703899999999996</v>
      </c>
      <c r="P97" s="1">
        <v>0.70210499999999998</v>
      </c>
      <c r="Q97" s="1">
        <v>0.71559200000000001</v>
      </c>
      <c r="R97" s="1">
        <v>0.685442</v>
      </c>
      <c r="S97" s="1"/>
      <c r="T97" s="1">
        <v>0.80552599999999996</v>
      </c>
      <c r="U97" s="1">
        <v>0.80125000000000002</v>
      </c>
      <c r="V97" s="1">
        <v>0.80131600000000003</v>
      </c>
      <c r="W97" s="1">
        <v>0.80467100000000003</v>
      </c>
      <c r="X97" s="1">
        <v>0.80078899999999997</v>
      </c>
      <c r="Y97" s="1">
        <v>0.80236799999999997</v>
      </c>
      <c r="Z97" s="1">
        <v>0.80368399999999995</v>
      </c>
      <c r="AA97" s="1">
        <v>0.80280099999999999</v>
      </c>
    </row>
    <row r="98" spans="1:27" x14ac:dyDescent="0.3">
      <c r="A98" t="s">
        <v>8</v>
      </c>
      <c r="B98" s="1">
        <v>0.81177600000000005</v>
      </c>
      <c r="C98" s="1">
        <v>0.82730300000000001</v>
      </c>
      <c r="D98" s="1">
        <v>0.80460500000000001</v>
      </c>
      <c r="E98" s="1">
        <v>0.82197399999999998</v>
      </c>
      <c r="F98" s="1">
        <v>0.81782900000000003</v>
      </c>
      <c r="G98" s="1">
        <v>0.83434200000000003</v>
      </c>
      <c r="H98" s="1">
        <v>0.81144700000000003</v>
      </c>
      <c r="I98" s="1">
        <v>0.81846799999999997</v>
      </c>
      <c r="J98">
        <f t="shared" si="11"/>
        <v>1.0740156957264015E-2</v>
      </c>
      <c r="K98" s="1">
        <v>0.75197400000000003</v>
      </c>
      <c r="L98" s="1">
        <v>0.74710500000000002</v>
      </c>
      <c r="M98" s="1">
        <v>0.71578900000000001</v>
      </c>
      <c r="N98" s="1">
        <v>0.71710499999999999</v>
      </c>
      <c r="O98" s="1">
        <v>0.75085500000000005</v>
      </c>
      <c r="P98" s="1">
        <v>0.74434199999999995</v>
      </c>
      <c r="Q98" s="1">
        <v>0.74651299999999998</v>
      </c>
      <c r="R98" s="1">
        <v>0.73909800000000003</v>
      </c>
      <c r="S98" s="1"/>
      <c r="T98" s="1">
        <v>0.74802599999999997</v>
      </c>
      <c r="U98" s="1">
        <v>0.78098699999999999</v>
      </c>
      <c r="V98" s="1">
        <v>0.71973699999999996</v>
      </c>
      <c r="W98" s="1">
        <v>0.67059199999999997</v>
      </c>
      <c r="X98" s="1">
        <v>0.67427599999999999</v>
      </c>
      <c r="Y98" s="1">
        <v>0.74328899999999998</v>
      </c>
      <c r="Z98" s="1">
        <v>0.77322400000000002</v>
      </c>
      <c r="AA98" s="1">
        <v>0.73001899999999997</v>
      </c>
    </row>
    <row r="100" spans="1:27" x14ac:dyDescent="0.3">
      <c r="A100" t="s">
        <v>35</v>
      </c>
    </row>
    <row r="101" spans="1:27" x14ac:dyDescent="0.3">
      <c r="A101" t="s">
        <v>6</v>
      </c>
      <c r="B101" s="1">
        <v>0.92822400000000005</v>
      </c>
      <c r="C101" s="1">
        <v>0.92815800000000004</v>
      </c>
      <c r="D101" s="1">
        <v>0.92651300000000003</v>
      </c>
      <c r="E101" s="1">
        <v>0.92697399999999996</v>
      </c>
      <c r="F101" s="1">
        <v>0.92552599999999996</v>
      </c>
      <c r="G101" s="1">
        <v>0.92980300000000005</v>
      </c>
      <c r="H101" s="1">
        <v>0.92782900000000001</v>
      </c>
      <c r="I101" s="1">
        <v>0.92757500000000004</v>
      </c>
      <c r="J101">
        <f t="shared" si="11"/>
        <v>1.4823000258607395E-3</v>
      </c>
      <c r="K101" s="1">
        <v>0.61151299999999997</v>
      </c>
      <c r="L101" s="1">
        <v>0.612039</v>
      </c>
      <c r="M101" s="1">
        <v>0.611711</v>
      </c>
      <c r="N101" s="1">
        <v>0.611842</v>
      </c>
      <c r="O101" s="1">
        <v>0.61124999999999996</v>
      </c>
      <c r="P101" s="1">
        <v>0.61144699999999996</v>
      </c>
      <c r="Q101" s="1">
        <v>0.61177599999999999</v>
      </c>
      <c r="R101" s="1">
        <v>0.61165400000000003</v>
      </c>
      <c r="S101" s="1"/>
      <c r="T101" s="1">
        <v>0.823882</v>
      </c>
      <c r="U101" s="1">
        <v>0.82328900000000005</v>
      </c>
      <c r="V101" s="1">
        <v>0.82447400000000004</v>
      </c>
      <c r="W101" s="1">
        <v>0.82342099999999996</v>
      </c>
      <c r="X101" s="1">
        <v>0.82263200000000003</v>
      </c>
      <c r="Y101" s="1">
        <v>0.82355299999999998</v>
      </c>
      <c r="Z101" s="1">
        <v>0.82296100000000005</v>
      </c>
      <c r="AA101" s="1">
        <v>0.82345900000000005</v>
      </c>
    </row>
    <row r="102" spans="1:27" x14ac:dyDescent="0.3">
      <c r="A102" t="s">
        <v>7</v>
      </c>
      <c r="B102" s="1">
        <v>0.93328900000000004</v>
      </c>
      <c r="C102" s="1">
        <v>0.93302600000000002</v>
      </c>
      <c r="D102" s="1">
        <v>0.93532899999999997</v>
      </c>
      <c r="E102" s="1">
        <v>0.93552599999999997</v>
      </c>
      <c r="F102" s="1">
        <v>0.93184199999999995</v>
      </c>
      <c r="G102" s="1">
        <v>0.93236799999999997</v>
      </c>
      <c r="H102" s="1">
        <v>0.93407899999999999</v>
      </c>
      <c r="I102" s="1">
        <v>0.93363700000000005</v>
      </c>
      <c r="J102">
        <f t="shared" si="11"/>
        <v>1.5370147689596221E-3</v>
      </c>
      <c r="K102" s="1">
        <v>0.72486799999999996</v>
      </c>
      <c r="L102" s="1">
        <v>0.672566</v>
      </c>
      <c r="M102" s="1">
        <v>0.73690800000000001</v>
      </c>
      <c r="N102" s="1">
        <v>0.76434199999999997</v>
      </c>
      <c r="O102" s="1">
        <v>0.759934</v>
      </c>
      <c r="P102" s="1">
        <v>0.72243400000000002</v>
      </c>
      <c r="Q102" s="1">
        <v>0.72822399999999998</v>
      </c>
      <c r="R102" s="1">
        <v>0.72989700000000002</v>
      </c>
      <c r="S102" s="1"/>
      <c r="T102" s="1">
        <v>0.823882</v>
      </c>
      <c r="U102" s="1">
        <v>0.82177599999999995</v>
      </c>
      <c r="V102" s="1">
        <v>0.82250000000000001</v>
      </c>
      <c r="W102" s="1">
        <v>0.820658</v>
      </c>
      <c r="X102" s="1">
        <v>0.82532899999999998</v>
      </c>
      <c r="Y102" s="1">
        <v>0.82197399999999998</v>
      </c>
      <c r="Z102" s="1">
        <v>0.81848699999999996</v>
      </c>
      <c r="AA102" s="1">
        <v>0.82208599999999998</v>
      </c>
    </row>
    <row r="103" spans="1:27" x14ac:dyDescent="0.3">
      <c r="A103" t="s">
        <v>8</v>
      </c>
      <c r="B103" s="1">
        <v>0.89013200000000003</v>
      </c>
      <c r="C103" s="1">
        <v>0.90526300000000004</v>
      </c>
      <c r="D103" s="1">
        <v>0.90078899999999995</v>
      </c>
      <c r="E103" s="1">
        <v>0.89624999999999999</v>
      </c>
      <c r="F103" s="1">
        <v>0.91644700000000001</v>
      </c>
      <c r="G103" s="1">
        <v>0.90072399999999997</v>
      </c>
      <c r="H103" s="1">
        <v>0.88506600000000002</v>
      </c>
      <c r="I103" s="1">
        <v>0.89923900000000001</v>
      </c>
      <c r="J103">
        <f t="shared" si="11"/>
        <v>1.0324754500713323E-2</v>
      </c>
      <c r="K103" s="1">
        <v>0.86105299999999996</v>
      </c>
      <c r="L103" s="1">
        <v>0.85230300000000003</v>
      </c>
      <c r="M103" s="1">
        <v>0.83644700000000005</v>
      </c>
      <c r="N103" s="1">
        <v>0.85309199999999996</v>
      </c>
      <c r="O103" s="1">
        <v>0.84296099999999996</v>
      </c>
      <c r="P103" s="1">
        <v>0.84032899999999999</v>
      </c>
      <c r="Q103" s="1">
        <v>0.84631599999999996</v>
      </c>
      <c r="R103" s="1">
        <v>0.84750000000000003</v>
      </c>
      <c r="S103" s="1"/>
      <c r="T103" s="1">
        <v>0.75875000000000004</v>
      </c>
      <c r="U103" s="1">
        <v>0.76842100000000002</v>
      </c>
      <c r="V103" s="1">
        <v>0.78296100000000002</v>
      </c>
      <c r="W103" s="1">
        <v>0.76914499999999997</v>
      </c>
      <c r="X103" s="1">
        <v>0.78111799999999998</v>
      </c>
      <c r="Y103" s="1">
        <v>0.76230299999999995</v>
      </c>
      <c r="Z103" s="1">
        <v>0.72947399999999996</v>
      </c>
      <c r="AA103" s="1">
        <v>0.76459600000000005</v>
      </c>
    </row>
    <row r="105" spans="1:27" x14ac:dyDescent="0.3">
      <c r="A105" t="s">
        <v>36</v>
      </c>
    </row>
    <row r="106" spans="1:27" x14ac:dyDescent="0.3">
      <c r="A106" t="s">
        <v>6</v>
      </c>
      <c r="B106">
        <v>0.92730263199999996</v>
      </c>
      <c r="C106">
        <v>0.92907894700000004</v>
      </c>
      <c r="D106">
        <v>0.92861842100000003</v>
      </c>
      <c r="E106">
        <v>0.92835526300000004</v>
      </c>
      <c r="F106">
        <v>0.92861842100000003</v>
      </c>
      <c r="G106">
        <v>0.92782894699999996</v>
      </c>
      <c r="H106">
        <v>0.92598684200000003</v>
      </c>
      <c r="I106">
        <v>0.92796992499999997</v>
      </c>
      <c r="J106">
        <f t="shared" si="11"/>
        <v>1.1043359449327806E-3</v>
      </c>
      <c r="K106">
        <v>0.92907894700000004</v>
      </c>
      <c r="L106">
        <v>0.92888157900000001</v>
      </c>
      <c r="M106">
        <v>0.92855263200000004</v>
      </c>
      <c r="N106">
        <v>0.92881578899999995</v>
      </c>
      <c r="O106">
        <v>0.92874999999999996</v>
      </c>
      <c r="P106">
        <v>0.92881578899999995</v>
      </c>
      <c r="Q106">
        <v>0.929144737</v>
      </c>
      <c r="R106">
        <v>0.92886278200000005</v>
      </c>
      <c r="T106">
        <v>0.77276315799999995</v>
      </c>
      <c r="U106">
        <v>0.76914473699999997</v>
      </c>
      <c r="V106">
        <v>0.77407894700000002</v>
      </c>
      <c r="W106">
        <v>0.76815789499999998</v>
      </c>
      <c r="X106">
        <v>0.76328947400000002</v>
      </c>
      <c r="Y106">
        <v>0.76960526299999998</v>
      </c>
      <c r="Z106">
        <v>0.77151315799999998</v>
      </c>
      <c r="AA106">
        <v>0.76979323300000002</v>
      </c>
    </row>
    <row r="107" spans="1:27" x14ac:dyDescent="0.3">
      <c r="A107" t="s">
        <v>7</v>
      </c>
      <c r="B107" s="1">
        <v>0.93190799999999996</v>
      </c>
      <c r="C107" s="1">
        <v>0.93203899999999995</v>
      </c>
      <c r="D107" s="1">
        <v>0.93078899999999998</v>
      </c>
      <c r="E107" s="1">
        <v>0.93434200000000001</v>
      </c>
      <c r="F107" s="1">
        <v>0.93006599999999995</v>
      </c>
      <c r="G107" s="1">
        <v>0.92973700000000004</v>
      </c>
      <c r="H107" s="1">
        <v>0.93315800000000004</v>
      </c>
      <c r="I107" s="1">
        <v>0.93171999999999999</v>
      </c>
      <c r="J107">
        <f t="shared" si="11"/>
        <v>1.8206208556423927E-3</v>
      </c>
      <c r="K107" s="1">
        <v>0.930724</v>
      </c>
      <c r="L107" s="1">
        <v>0.930921</v>
      </c>
      <c r="M107" s="1">
        <v>0.92986800000000003</v>
      </c>
      <c r="N107" s="1">
        <v>0.93026299999999995</v>
      </c>
      <c r="O107" s="1">
        <v>0.93197399999999997</v>
      </c>
      <c r="P107" s="1">
        <v>0.93217099999999997</v>
      </c>
      <c r="Q107" s="1">
        <v>0.93138200000000004</v>
      </c>
      <c r="R107" s="1">
        <v>0.93104299999999995</v>
      </c>
      <c r="S107" s="1"/>
      <c r="T107" s="1">
        <v>0.77111799999999997</v>
      </c>
      <c r="U107" s="1">
        <v>0.76743399999999995</v>
      </c>
      <c r="V107" s="1">
        <v>0.77230299999999996</v>
      </c>
      <c r="W107" s="1">
        <v>0.76677600000000001</v>
      </c>
      <c r="X107" s="1">
        <v>0.76263199999999998</v>
      </c>
      <c r="Y107" s="1">
        <v>0.768289</v>
      </c>
      <c r="Z107" s="1">
        <v>0.76967099999999999</v>
      </c>
      <c r="AA107" s="1">
        <v>0.76831799999999995</v>
      </c>
    </row>
    <row r="108" spans="1:27" x14ac:dyDescent="0.3">
      <c r="A108" t="s">
        <v>8</v>
      </c>
      <c r="B108" s="1">
        <v>0.91888199999999998</v>
      </c>
      <c r="C108" s="1">
        <v>0.92769699999999999</v>
      </c>
      <c r="D108" s="1">
        <v>0.91546099999999997</v>
      </c>
      <c r="E108" s="1">
        <v>0.90375000000000005</v>
      </c>
      <c r="F108" s="1">
        <v>0.92144700000000002</v>
      </c>
      <c r="G108" s="1">
        <v>0.91046099999999996</v>
      </c>
      <c r="H108" s="1">
        <v>0.90815800000000002</v>
      </c>
      <c r="I108" s="1">
        <v>0.91512199999999999</v>
      </c>
      <c r="J108">
        <f t="shared" si="11"/>
        <v>8.8931660429043182E-3</v>
      </c>
      <c r="K108" s="1">
        <v>0.91828900000000002</v>
      </c>
      <c r="L108" s="1">
        <v>0.90440799999999999</v>
      </c>
      <c r="M108" s="1">
        <v>0.92605300000000002</v>
      </c>
      <c r="N108" s="1">
        <v>0.91973700000000003</v>
      </c>
      <c r="O108" s="1">
        <v>0.92796100000000004</v>
      </c>
      <c r="P108" s="1">
        <v>0.92296100000000003</v>
      </c>
      <c r="Q108" s="1">
        <v>0.90848700000000004</v>
      </c>
      <c r="R108" s="1">
        <v>0.91827099999999995</v>
      </c>
      <c r="S108" s="1"/>
      <c r="T108" s="1">
        <v>0.83585500000000001</v>
      </c>
      <c r="U108" s="1">
        <v>0.77164500000000003</v>
      </c>
      <c r="V108" s="1">
        <v>0.82368399999999997</v>
      </c>
      <c r="W108" s="1">
        <v>0.77638200000000002</v>
      </c>
      <c r="X108" s="1">
        <v>0.81296100000000004</v>
      </c>
      <c r="Y108" s="1">
        <v>0.79105300000000001</v>
      </c>
      <c r="Z108" s="1">
        <v>0.79401299999999997</v>
      </c>
      <c r="AA108" s="1">
        <v>0.80079900000000004</v>
      </c>
    </row>
    <row r="110" spans="1:27" x14ac:dyDescent="0.3">
      <c r="A110" t="s">
        <v>53</v>
      </c>
    </row>
    <row r="111" spans="1:27" x14ac:dyDescent="0.3">
      <c r="A111" t="s">
        <v>169</v>
      </c>
      <c r="B111" t="s">
        <v>1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44</v>
      </c>
      <c r="K111" t="s">
        <v>45</v>
      </c>
      <c r="L111" t="s">
        <v>46</v>
      </c>
      <c r="M111" t="s">
        <v>47</v>
      </c>
      <c r="N111" t="s">
        <v>48</v>
      </c>
      <c r="O111" t="s">
        <v>49</v>
      </c>
    </row>
    <row r="112" spans="1:27" x14ac:dyDescent="0.3">
      <c r="A112" t="s">
        <v>6</v>
      </c>
      <c r="B112" s="1">
        <v>0.5</v>
      </c>
      <c r="C112">
        <v>0.76959586466165397</v>
      </c>
      <c r="D112" s="1">
        <v>0.82833599999999996</v>
      </c>
      <c r="E112" s="1">
        <v>0.92757500000000004</v>
      </c>
      <c r="F112">
        <v>0.92796992499999997</v>
      </c>
      <c r="G112">
        <v>0.71904135338345798</v>
      </c>
      <c r="H112" s="1">
        <v>0.69570500000000002</v>
      </c>
      <c r="I112" s="1">
        <v>0.61177599999999999</v>
      </c>
      <c r="K112">
        <v>0.92886278200000005</v>
      </c>
      <c r="L112">
        <v>0.80851503759398402</v>
      </c>
      <c r="M112" s="1">
        <v>0.80069500000000005</v>
      </c>
      <c r="N112" s="1">
        <v>0.82345900000000005</v>
      </c>
      <c r="O112">
        <v>0.76979323300000002</v>
      </c>
    </row>
    <row r="113" spans="1:27" x14ac:dyDescent="0.3">
      <c r="A113" t="s">
        <v>7</v>
      </c>
      <c r="B113" s="1">
        <v>0.60405699999999996</v>
      </c>
      <c r="C113" s="1">
        <v>0.77773499999999995</v>
      </c>
      <c r="D113" s="1">
        <v>0.85546100000000003</v>
      </c>
      <c r="E113" s="1">
        <v>0.93363700000000005</v>
      </c>
      <c r="F113" s="1">
        <v>0.93171999999999999</v>
      </c>
      <c r="G113" s="1">
        <v>0.75441729323308204</v>
      </c>
      <c r="H113" s="1">
        <v>0.685442</v>
      </c>
      <c r="I113" s="1">
        <v>0.72822399999999998</v>
      </c>
      <c r="K113" s="1">
        <v>0.93104299999999995</v>
      </c>
      <c r="L113" s="1">
        <v>0.80721799999999999</v>
      </c>
      <c r="M113" s="1">
        <v>0.80280099999999999</v>
      </c>
      <c r="N113" s="1">
        <v>0.82208599999999998</v>
      </c>
      <c r="O113" s="1">
        <v>0.76831799999999995</v>
      </c>
    </row>
    <row r="114" spans="1:27" x14ac:dyDescent="0.3">
      <c r="A114" t="s">
        <v>8</v>
      </c>
      <c r="B114" s="1">
        <v>0.89188599999999996</v>
      </c>
      <c r="C114">
        <v>0.74181390977443595</v>
      </c>
      <c r="D114" s="1">
        <v>0.81846799999999997</v>
      </c>
      <c r="E114" s="1">
        <v>0.89923900000000001</v>
      </c>
      <c r="F114" s="1">
        <v>0.91512199999999999</v>
      </c>
      <c r="G114">
        <v>0.73801691729323304</v>
      </c>
      <c r="H114" s="1">
        <v>0.73909800000000003</v>
      </c>
      <c r="I114" s="1">
        <v>0.84631599999999996</v>
      </c>
      <c r="K114" s="1">
        <v>0.91827099999999995</v>
      </c>
      <c r="L114">
        <v>0.75761278195488702</v>
      </c>
      <c r="M114" s="1">
        <v>0.73001899999999997</v>
      </c>
      <c r="N114" s="1">
        <v>0.76459600000000005</v>
      </c>
      <c r="O114" s="1">
        <v>0.80079900000000004</v>
      </c>
    </row>
    <row r="117" spans="1:27" x14ac:dyDescent="0.3">
      <c r="A117" s="2" t="s">
        <v>54</v>
      </c>
    </row>
    <row r="118" spans="1:27" x14ac:dyDescent="0.3">
      <c r="C118" t="s">
        <v>1</v>
      </c>
    </row>
    <row r="119" spans="1:27" x14ac:dyDescent="0.3">
      <c r="B119" t="s">
        <v>2</v>
      </c>
      <c r="C119" t="s">
        <v>3</v>
      </c>
      <c r="D119" t="s">
        <v>4</v>
      </c>
      <c r="E119" t="s">
        <v>5</v>
      </c>
    </row>
    <row r="120" spans="1:27" x14ac:dyDescent="0.3">
      <c r="A120" t="s">
        <v>6</v>
      </c>
      <c r="B120" s="1">
        <v>0.5</v>
      </c>
      <c r="C120" s="1">
        <v>0.5</v>
      </c>
      <c r="D120" s="1">
        <v>0.5</v>
      </c>
      <c r="E120" s="1">
        <v>0.5</v>
      </c>
    </row>
    <row r="121" spans="1:27" x14ac:dyDescent="0.3">
      <c r="A121" t="s">
        <v>7</v>
      </c>
      <c r="B121" s="1">
        <v>0.44129000000000002</v>
      </c>
      <c r="C121" s="1">
        <v>0.48483900000000002</v>
      </c>
      <c r="D121" s="1">
        <v>0.373226</v>
      </c>
      <c r="E121" s="1">
        <v>0.433118</v>
      </c>
    </row>
    <row r="122" spans="1:27" x14ac:dyDescent="0.3">
      <c r="A122" t="s">
        <v>8</v>
      </c>
      <c r="B122" s="1">
        <v>0.50532299999999997</v>
      </c>
      <c r="C122" s="1">
        <v>0.51661299999999999</v>
      </c>
      <c r="D122" s="1">
        <v>0.46459699999999998</v>
      </c>
      <c r="E122" s="1">
        <v>0.49551099999999998</v>
      </c>
    </row>
    <row r="124" spans="1:27" x14ac:dyDescent="0.3">
      <c r="A124" t="s">
        <v>9</v>
      </c>
    </row>
    <row r="125" spans="1:27" x14ac:dyDescent="0.3">
      <c r="B125" t="s">
        <v>10</v>
      </c>
      <c r="C125" t="s">
        <v>11</v>
      </c>
      <c r="D125" t="s">
        <v>12</v>
      </c>
      <c r="E125" t="s">
        <v>13</v>
      </c>
      <c r="F125" t="s">
        <v>14</v>
      </c>
      <c r="G125" t="s">
        <v>15</v>
      </c>
      <c r="H125" t="s">
        <v>16</v>
      </c>
      <c r="I125" t="s">
        <v>17</v>
      </c>
      <c r="K125" t="s">
        <v>18</v>
      </c>
      <c r="L125" t="s">
        <v>19</v>
      </c>
      <c r="M125" t="s">
        <v>20</v>
      </c>
      <c r="N125" t="s">
        <v>21</v>
      </c>
      <c r="O125" t="s">
        <v>22</v>
      </c>
      <c r="P125" t="s">
        <v>23</v>
      </c>
      <c r="Q125" t="s">
        <v>24</v>
      </c>
      <c r="R125" t="s">
        <v>25</v>
      </c>
      <c r="T125" t="s">
        <v>26</v>
      </c>
      <c r="U125" t="s">
        <v>27</v>
      </c>
      <c r="V125" t="s">
        <v>28</v>
      </c>
      <c r="W125" t="s">
        <v>29</v>
      </c>
      <c r="X125" t="s">
        <v>30</v>
      </c>
      <c r="Y125" t="s">
        <v>31</v>
      </c>
      <c r="Z125" t="s">
        <v>32</v>
      </c>
      <c r="AA125" t="s">
        <v>33</v>
      </c>
    </row>
    <row r="126" spans="1:27" x14ac:dyDescent="0.3">
      <c r="A126" t="s">
        <v>6</v>
      </c>
      <c r="B126" s="1">
        <v>0.57096800000000003</v>
      </c>
      <c r="C126" s="1">
        <v>0.56959700000000002</v>
      </c>
      <c r="D126" s="1">
        <v>0.57040299999999999</v>
      </c>
      <c r="E126" s="1">
        <v>0.57322600000000001</v>
      </c>
      <c r="F126" s="1">
        <v>0.57677400000000001</v>
      </c>
      <c r="G126" s="1">
        <v>0.57201599999999997</v>
      </c>
      <c r="H126" s="1">
        <v>0.57516100000000003</v>
      </c>
      <c r="I126" s="1">
        <v>0.57259199999999999</v>
      </c>
      <c r="J126">
        <f t="shared" ref="J126:J178" si="12">_xlfn.STDEV.S(C126:H126)</f>
        <v>2.7620376113780035E-3</v>
      </c>
      <c r="K126" s="1">
        <v>0.71370999999999996</v>
      </c>
      <c r="L126" s="1">
        <v>0.71387100000000003</v>
      </c>
      <c r="M126" s="1">
        <v>0.70790299999999995</v>
      </c>
      <c r="N126" s="1">
        <v>0.71387100000000003</v>
      </c>
      <c r="O126" s="1">
        <v>0.71338699999999999</v>
      </c>
      <c r="P126" s="1">
        <v>0.70782299999999998</v>
      </c>
      <c r="Q126" s="1">
        <v>0.70854799999999996</v>
      </c>
      <c r="R126" s="1">
        <v>0.71130199999999999</v>
      </c>
      <c r="S126" s="1"/>
      <c r="T126" s="1">
        <v>0.79419399999999996</v>
      </c>
      <c r="U126" s="1">
        <v>0.79774199999999995</v>
      </c>
      <c r="V126" s="1">
        <v>0.79814499999999999</v>
      </c>
      <c r="W126" s="1">
        <v>0.79822599999999999</v>
      </c>
      <c r="X126" s="1">
        <v>0.79548399999999997</v>
      </c>
      <c r="Y126" s="1">
        <v>0.79693499999999995</v>
      </c>
      <c r="Z126" s="1">
        <v>0.79653200000000002</v>
      </c>
      <c r="AA126" s="1">
        <v>0.79675099999999999</v>
      </c>
    </row>
    <row r="127" spans="1:27" x14ac:dyDescent="0.3">
      <c r="A127" t="s">
        <v>7</v>
      </c>
      <c r="B127" s="1">
        <v>0.60572599999999999</v>
      </c>
      <c r="C127" s="1">
        <v>0.61354799999999998</v>
      </c>
      <c r="D127" s="1">
        <v>0.62266100000000002</v>
      </c>
      <c r="E127" s="1">
        <v>0.61298399999999997</v>
      </c>
      <c r="F127" s="1">
        <v>0.61629</v>
      </c>
      <c r="G127" s="1">
        <v>0.61185500000000004</v>
      </c>
      <c r="H127" s="1">
        <v>0.61338700000000002</v>
      </c>
      <c r="I127" s="1">
        <v>0.61377899999999996</v>
      </c>
      <c r="J127">
        <f t="shared" si="12"/>
        <v>3.9732296896437674E-3</v>
      </c>
      <c r="K127" s="1">
        <v>0.65887099999999998</v>
      </c>
      <c r="L127" s="1">
        <v>0.65104799999999996</v>
      </c>
      <c r="M127" s="1">
        <v>0.64959699999999998</v>
      </c>
      <c r="N127" s="1">
        <v>0.62967700000000004</v>
      </c>
      <c r="O127" s="1">
        <v>0.63895199999999996</v>
      </c>
      <c r="P127" s="1">
        <v>0.64411300000000005</v>
      </c>
      <c r="Q127" s="1">
        <v>0.615726</v>
      </c>
      <c r="R127" s="1">
        <v>0.64114099999999996</v>
      </c>
      <c r="S127" s="1"/>
      <c r="T127" s="1">
        <v>0.78685499999999997</v>
      </c>
      <c r="U127" s="1">
        <v>0.79564500000000005</v>
      </c>
      <c r="V127" s="1">
        <v>0.79500000000000004</v>
      </c>
      <c r="W127" s="1">
        <v>0.79540299999999997</v>
      </c>
      <c r="X127" s="1">
        <v>0.79629000000000005</v>
      </c>
      <c r="Y127" s="1">
        <v>0.794597</v>
      </c>
      <c r="Z127" s="1">
        <v>0.79346799999999995</v>
      </c>
      <c r="AA127" s="1">
        <v>0.79389399999999999</v>
      </c>
    </row>
    <row r="128" spans="1:27" x14ac:dyDescent="0.3">
      <c r="A128" t="s">
        <v>8</v>
      </c>
      <c r="B128" s="1">
        <v>0.61677400000000004</v>
      </c>
      <c r="C128" s="1">
        <v>0.62733899999999998</v>
      </c>
      <c r="D128" s="1">
        <v>0.66112899999999997</v>
      </c>
      <c r="E128" s="1">
        <v>0.61233899999999997</v>
      </c>
      <c r="F128" s="1">
        <v>0.65491900000000003</v>
      </c>
      <c r="G128" s="1">
        <v>0.625726</v>
      </c>
      <c r="H128" s="1">
        <v>0.62225799999999998</v>
      </c>
      <c r="I128" s="1">
        <v>0.631498</v>
      </c>
      <c r="J128">
        <f t="shared" si="12"/>
        <v>1.9460085649006455E-2</v>
      </c>
      <c r="K128" s="1">
        <v>0.64137100000000002</v>
      </c>
      <c r="L128" s="1">
        <v>0.61314500000000005</v>
      </c>
      <c r="M128" s="1">
        <v>0.65008100000000002</v>
      </c>
      <c r="N128" s="1">
        <v>0.63943499999999998</v>
      </c>
      <c r="O128" s="1">
        <v>0.69508099999999995</v>
      </c>
      <c r="P128" s="1">
        <v>0.60233899999999996</v>
      </c>
      <c r="Q128" s="1">
        <v>0.62137100000000001</v>
      </c>
      <c r="R128" s="1">
        <v>0.63754599999999995</v>
      </c>
      <c r="S128" s="1"/>
      <c r="T128" s="1">
        <v>0.42169400000000001</v>
      </c>
      <c r="U128" s="1">
        <v>0.435081</v>
      </c>
      <c r="V128" s="1">
        <v>0.42951600000000001</v>
      </c>
      <c r="W128" s="1">
        <v>0.40621000000000002</v>
      </c>
      <c r="X128" s="1">
        <v>0.47508099999999998</v>
      </c>
      <c r="Y128" s="1">
        <v>0.47604800000000003</v>
      </c>
      <c r="Z128" s="1">
        <v>0.39895199999999997</v>
      </c>
      <c r="AA128" s="1">
        <v>0.43465399999999998</v>
      </c>
    </row>
    <row r="130" spans="1:27" x14ac:dyDescent="0.3">
      <c r="A130" t="s">
        <v>34</v>
      </c>
    </row>
    <row r="131" spans="1:27" x14ac:dyDescent="0.3">
      <c r="A131" t="s">
        <v>6</v>
      </c>
      <c r="B131" s="1">
        <v>0.54967699999999997</v>
      </c>
      <c r="C131" s="1">
        <v>0.54927400000000004</v>
      </c>
      <c r="D131" s="1">
        <v>0.54830599999999996</v>
      </c>
      <c r="E131" s="1">
        <v>0.55000000000000004</v>
      </c>
      <c r="F131" s="1">
        <v>0.548871</v>
      </c>
      <c r="G131" s="1">
        <v>0.54790300000000003</v>
      </c>
      <c r="H131" s="1">
        <v>0.54661300000000002</v>
      </c>
      <c r="I131" s="1">
        <v>0.54866400000000004</v>
      </c>
      <c r="J131">
        <f t="shared" si="12"/>
        <v>1.1782486579665701E-3</v>
      </c>
      <c r="K131" s="1">
        <v>0.66774199999999995</v>
      </c>
      <c r="L131" s="1">
        <v>0.66766099999999995</v>
      </c>
      <c r="M131" s="1">
        <v>0.64459699999999998</v>
      </c>
      <c r="N131" s="1">
        <v>0.66790300000000002</v>
      </c>
      <c r="O131" s="1">
        <v>0.66790300000000002</v>
      </c>
      <c r="P131" s="1">
        <v>0.66782300000000006</v>
      </c>
      <c r="Q131" s="1">
        <v>0.64500000000000002</v>
      </c>
      <c r="R131" s="1">
        <v>0.66123299999999996</v>
      </c>
      <c r="S131" s="1"/>
      <c r="T131" s="1">
        <v>0.81419399999999997</v>
      </c>
      <c r="U131" s="1">
        <v>0.81701599999999996</v>
      </c>
      <c r="V131" s="1">
        <v>0.81516100000000002</v>
      </c>
      <c r="W131" s="1">
        <v>0.81532300000000002</v>
      </c>
      <c r="X131" s="1">
        <v>0.81467699999999998</v>
      </c>
      <c r="Y131" s="1">
        <v>0.81475799999999998</v>
      </c>
      <c r="Z131" s="1">
        <v>0.81774199999999997</v>
      </c>
      <c r="AA131" s="1">
        <v>0.81555299999999997</v>
      </c>
    </row>
    <row r="132" spans="1:27" x14ac:dyDescent="0.3">
      <c r="A132" t="s">
        <v>7</v>
      </c>
      <c r="B132" s="1">
        <v>0.53387099999999998</v>
      </c>
      <c r="C132" s="1">
        <v>0.54008100000000003</v>
      </c>
      <c r="D132" s="1">
        <v>0.53395199999999998</v>
      </c>
      <c r="E132" s="1">
        <v>0.53677399999999997</v>
      </c>
      <c r="F132" s="1">
        <v>0.53693500000000005</v>
      </c>
      <c r="G132" s="1">
        <v>0.531532</v>
      </c>
      <c r="H132" s="1">
        <v>0.53411299999999995</v>
      </c>
      <c r="I132" s="1">
        <v>0.53532299999999999</v>
      </c>
      <c r="J132">
        <f t="shared" si="12"/>
        <v>2.9902507419947428E-3</v>
      </c>
      <c r="K132" s="1">
        <v>0.664516</v>
      </c>
      <c r="L132" s="1">
        <v>0.73838700000000002</v>
      </c>
      <c r="M132" s="1">
        <v>0.67774199999999996</v>
      </c>
      <c r="N132" s="1">
        <v>0.70814500000000002</v>
      </c>
      <c r="O132" s="1">
        <v>0.71637099999999998</v>
      </c>
      <c r="P132" s="1">
        <v>0.65620999999999996</v>
      </c>
      <c r="Q132" s="1">
        <v>0.64483900000000005</v>
      </c>
      <c r="R132" s="1">
        <v>0.68660100000000002</v>
      </c>
      <c r="S132" s="1"/>
      <c r="T132" s="1">
        <v>0.81338699999999997</v>
      </c>
      <c r="U132" s="1">
        <v>0.81427400000000005</v>
      </c>
      <c r="V132" s="1">
        <v>0.81387100000000001</v>
      </c>
      <c r="W132" s="1">
        <v>0.81153200000000003</v>
      </c>
      <c r="X132" s="1">
        <v>0.81435500000000005</v>
      </c>
      <c r="Y132" s="1">
        <v>0.81346799999999997</v>
      </c>
      <c r="Z132" s="1">
        <v>0.81419399999999997</v>
      </c>
      <c r="AA132" s="1">
        <v>0.81358299999999995</v>
      </c>
    </row>
    <row r="133" spans="1:27" x14ac:dyDescent="0.3">
      <c r="A133" t="s">
        <v>8</v>
      </c>
      <c r="B133" s="1">
        <v>0.54612899999999998</v>
      </c>
      <c r="C133" s="1">
        <v>0.54379</v>
      </c>
      <c r="D133" s="1">
        <v>0.50951599999999997</v>
      </c>
      <c r="E133" s="1">
        <v>0.535968</v>
      </c>
      <c r="F133" s="1">
        <v>0.53282300000000005</v>
      </c>
      <c r="G133" s="1">
        <v>0.52524199999999999</v>
      </c>
      <c r="H133" s="1">
        <v>0.54137100000000005</v>
      </c>
      <c r="I133" s="1">
        <v>0.53354800000000002</v>
      </c>
      <c r="J133">
        <f t="shared" si="12"/>
        <v>1.2590781527239171E-2</v>
      </c>
      <c r="K133" s="1">
        <v>0.64903200000000005</v>
      </c>
      <c r="L133" s="1">
        <v>0.66330599999999995</v>
      </c>
      <c r="M133" s="1">
        <v>0.62725799999999998</v>
      </c>
      <c r="N133" s="1">
        <v>0.60475800000000002</v>
      </c>
      <c r="O133" s="1">
        <v>0.65137100000000003</v>
      </c>
      <c r="P133" s="1">
        <v>0.66185499999999997</v>
      </c>
      <c r="Q133" s="1">
        <v>0.64782300000000004</v>
      </c>
      <c r="R133" s="1">
        <v>0.64362900000000001</v>
      </c>
      <c r="S133" s="1"/>
      <c r="T133" s="1">
        <v>0.51887099999999997</v>
      </c>
      <c r="U133" s="1">
        <v>0.52411300000000005</v>
      </c>
      <c r="V133" s="1">
        <v>0.55193499999999995</v>
      </c>
      <c r="W133" s="1">
        <v>0.47354800000000002</v>
      </c>
      <c r="X133" s="1">
        <v>0.54991900000000005</v>
      </c>
      <c r="Y133" s="1">
        <v>0.55604799999999999</v>
      </c>
      <c r="Z133" s="1">
        <v>0.54645200000000005</v>
      </c>
      <c r="AA133" s="1">
        <v>0.531555</v>
      </c>
    </row>
    <row r="135" spans="1:27" x14ac:dyDescent="0.3">
      <c r="A135" t="s">
        <v>35</v>
      </c>
    </row>
    <row r="136" spans="1:27" x14ac:dyDescent="0.3">
      <c r="A136" t="s">
        <v>6</v>
      </c>
      <c r="B136" s="1">
        <v>0.47733900000000001</v>
      </c>
      <c r="C136" s="1">
        <v>0.47411300000000001</v>
      </c>
      <c r="D136" s="1">
        <v>0.47685499999999997</v>
      </c>
      <c r="E136" s="1">
        <v>0.474194</v>
      </c>
      <c r="F136" s="1">
        <v>0.47758099999999998</v>
      </c>
      <c r="G136" s="1">
        <v>0.47491899999999998</v>
      </c>
      <c r="H136" s="1">
        <v>0.47225800000000001</v>
      </c>
      <c r="I136" s="1">
        <v>0.475323</v>
      </c>
      <c r="J136">
        <f t="shared" si="12"/>
        <v>1.9525905527443814E-3</v>
      </c>
      <c r="K136" s="1">
        <v>0.73040300000000002</v>
      </c>
      <c r="L136" s="1">
        <v>0.73096799999999995</v>
      </c>
      <c r="M136" s="1">
        <v>0.73129</v>
      </c>
      <c r="N136" s="1">
        <v>0.73032300000000006</v>
      </c>
      <c r="O136" s="1">
        <v>0.72991899999999998</v>
      </c>
      <c r="P136" s="1">
        <v>0.73048400000000002</v>
      </c>
      <c r="Q136" s="1">
        <v>0.73104800000000003</v>
      </c>
      <c r="R136" s="1">
        <v>0.73063400000000001</v>
      </c>
      <c r="S136" s="1"/>
      <c r="T136" s="1">
        <v>0.77322599999999997</v>
      </c>
      <c r="U136" s="1">
        <v>0.77451599999999998</v>
      </c>
      <c r="V136" s="1">
        <v>0.77395199999999997</v>
      </c>
      <c r="W136" s="1">
        <v>0.77830600000000005</v>
      </c>
      <c r="X136" s="1">
        <v>0.77685499999999996</v>
      </c>
      <c r="Y136" s="1">
        <v>0.77435500000000002</v>
      </c>
      <c r="Z136" s="1">
        <v>0.77378999999999998</v>
      </c>
      <c r="AA136" s="1">
        <v>0.77500000000000002</v>
      </c>
    </row>
    <row r="137" spans="1:27" x14ac:dyDescent="0.3">
      <c r="A137" t="s">
        <v>7</v>
      </c>
      <c r="B137" s="1">
        <v>0.55274199999999996</v>
      </c>
      <c r="C137" s="1">
        <v>0.53846799999999995</v>
      </c>
      <c r="D137" s="1">
        <v>0.54572600000000004</v>
      </c>
      <c r="E137" s="1">
        <v>0.54</v>
      </c>
      <c r="F137" s="1">
        <v>0.52548399999999995</v>
      </c>
      <c r="G137" s="1">
        <v>0.548871</v>
      </c>
      <c r="H137" s="1">
        <v>0.54491900000000004</v>
      </c>
      <c r="I137" s="1">
        <v>0.54231600000000002</v>
      </c>
      <c r="J137">
        <f t="shared" si="12"/>
        <v>8.3274852626708668E-3</v>
      </c>
      <c r="K137" s="1">
        <v>0.67088700000000001</v>
      </c>
      <c r="L137" s="1">
        <v>0.73</v>
      </c>
      <c r="M137" s="1">
        <v>0.72548400000000002</v>
      </c>
      <c r="N137" s="1">
        <v>0.67080600000000001</v>
      </c>
      <c r="O137" s="1">
        <v>0.76459699999999997</v>
      </c>
      <c r="P137" s="1">
        <v>0.69846799999999998</v>
      </c>
      <c r="Q137" s="1">
        <v>0.77830600000000005</v>
      </c>
      <c r="R137" s="1">
        <v>0.71979300000000002</v>
      </c>
      <c r="S137" s="1"/>
      <c r="T137" s="1">
        <v>0.76532299999999998</v>
      </c>
      <c r="U137" s="1">
        <v>0.77282300000000004</v>
      </c>
      <c r="V137" s="1">
        <v>0.77282300000000004</v>
      </c>
      <c r="W137" s="1">
        <v>0.78362900000000002</v>
      </c>
      <c r="X137" s="1">
        <v>0.77564500000000003</v>
      </c>
      <c r="Y137" s="1">
        <v>0.77532299999999998</v>
      </c>
      <c r="Z137" s="1">
        <v>0.77475799999999995</v>
      </c>
      <c r="AA137" s="1">
        <v>0.77433200000000002</v>
      </c>
    </row>
    <row r="138" spans="1:27" x14ac:dyDescent="0.3">
      <c r="A138" t="s">
        <v>8</v>
      </c>
      <c r="B138" s="1">
        <v>0.48620999999999998</v>
      </c>
      <c r="C138" s="1">
        <v>0.51604799999999995</v>
      </c>
      <c r="D138" s="1">
        <v>0.57443500000000003</v>
      </c>
      <c r="E138" s="1">
        <v>0.47749999999999998</v>
      </c>
      <c r="F138" s="1">
        <v>0.53233900000000001</v>
      </c>
      <c r="G138" s="1">
        <v>0.52911300000000006</v>
      </c>
      <c r="H138" s="1">
        <v>0.46887099999999998</v>
      </c>
      <c r="I138" s="1">
        <v>0.51207400000000003</v>
      </c>
      <c r="J138">
        <f t="shared" si="12"/>
        <v>3.8874340090433279E-2</v>
      </c>
      <c r="K138" s="1">
        <v>0.60854799999999998</v>
      </c>
      <c r="L138" s="1">
        <v>0.61903200000000003</v>
      </c>
      <c r="M138" s="1">
        <v>0.65451599999999999</v>
      </c>
      <c r="N138" s="1">
        <v>0.61709700000000001</v>
      </c>
      <c r="O138" s="1">
        <v>0.63871</v>
      </c>
      <c r="P138" s="1">
        <v>0.60145199999999999</v>
      </c>
      <c r="Q138" s="1">
        <v>0.60814500000000005</v>
      </c>
      <c r="R138" s="1">
        <v>0.62107100000000004</v>
      </c>
      <c r="S138" s="1"/>
      <c r="T138" s="1">
        <v>0.34709699999999999</v>
      </c>
      <c r="U138" s="1">
        <v>0.328065</v>
      </c>
      <c r="V138" s="1">
        <v>0.36766100000000002</v>
      </c>
      <c r="W138" s="1">
        <v>0.33112900000000001</v>
      </c>
      <c r="X138" s="1">
        <v>0.35766100000000001</v>
      </c>
      <c r="Y138" s="1">
        <v>0.30153200000000002</v>
      </c>
      <c r="Z138" s="1">
        <v>0.30556499999999998</v>
      </c>
      <c r="AA138" s="1">
        <v>0.33410099999999998</v>
      </c>
    </row>
    <row r="140" spans="1:27" x14ac:dyDescent="0.3">
      <c r="A140" t="s">
        <v>36</v>
      </c>
    </row>
    <row r="141" spans="1:27" x14ac:dyDescent="0.3">
      <c r="A141" t="s">
        <v>6</v>
      </c>
      <c r="B141" s="1">
        <v>0.49274200000000001</v>
      </c>
      <c r="C141" s="1">
        <v>0.48879</v>
      </c>
      <c r="D141" s="1">
        <v>0.48983900000000002</v>
      </c>
      <c r="E141" s="1">
        <v>0.49370999999999998</v>
      </c>
      <c r="F141" s="1">
        <v>0.49290299999999998</v>
      </c>
      <c r="G141" s="1">
        <v>0.49129</v>
      </c>
      <c r="H141" s="1">
        <v>0.48854799999999998</v>
      </c>
      <c r="I141" s="1">
        <v>0.491118</v>
      </c>
      <c r="J141">
        <f t="shared" si="12"/>
        <v>2.1518767312898373E-3</v>
      </c>
      <c r="K141" s="1">
        <v>0.470161</v>
      </c>
      <c r="L141" s="1">
        <v>0.46943499999999999</v>
      </c>
      <c r="M141" s="1">
        <v>0.47185500000000002</v>
      </c>
      <c r="N141" s="1">
        <v>0.47193499999999999</v>
      </c>
      <c r="O141" s="1">
        <v>0.471613</v>
      </c>
      <c r="P141" s="1">
        <v>0.470161</v>
      </c>
      <c r="Q141" s="1">
        <v>0.471613</v>
      </c>
      <c r="R141" s="1">
        <v>0.470968</v>
      </c>
      <c r="S141" s="1"/>
      <c r="T141" s="1">
        <v>0.512903</v>
      </c>
      <c r="U141" s="1">
        <v>0.50983900000000004</v>
      </c>
      <c r="V141" s="1">
        <v>0.51169399999999998</v>
      </c>
      <c r="W141" s="1">
        <v>0.50991900000000001</v>
      </c>
      <c r="X141" s="1">
        <v>0.50621000000000005</v>
      </c>
      <c r="Y141" s="1">
        <v>0.51548400000000005</v>
      </c>
      <c r="Z141" s="1">
        <v>0.51185499999999995</v>
      </c>
      <c r="AA141" s="1">
        <v>0.51112899999999994</v>
      </c>
    </row>
    <row r="142" spans="1:27" x14ac:dyDescent="0.3">
      <c r="A142" t="s">
        <v>7</v>
      </c>
      <c r="B142" s="1">
        <v>0.55298400000000003</v>
      </c>
      <c r="C142" s="1">
        <v>0.55951600000000001</v>
      </c>
      <c r="D142" s="1">
        <v>0.55661300000000002</v>
      </c>
      <c r="E142" s="1">
        <v>0.55411299999999997</v>
      </c>
      <c r="F142" s="1">
        <v>0.55072600000000005</v>
      </c>
      <c r="G142" s="1">
        <v>0.55153200000000002</v>
      </c>
      <c r="H142" s="1">
        <v>0.55451600000000001</v>
      </c>
      <c r="I142" s="1">
        <v>0.55428599999999995</v>
      </c>
      <c r="J142">
        <f t="shared" si="12"/>
        <v>3.2504494253359209E-3</v>
      </c>
      <c r="K142" s="1">
        <v>0.49354799999999999</v>
      </c>
      <c r="L142" s="1">
        <v>0.50177400000000005</v>
      </c>
      <c r="M142" s="1">
        <v>0.50491900000000001</v>
      </c>
      <c r="N142" s="1">
        <v>0.50169399999999997</v>
      </c>
      <c r="O142" s="1">
        <v>0.50201600000000002</v>
      </c>
      <c r="P142" s="1">
        <v>0.50121000000000004</v>
      </c>
      <c r="Q142" s="1">
        <v>0.50629000000000002</v>
      </c>
      <c r="R142" s="1">
        <v>0.50163599999999997</v>
      </c>
      <c r="S142" s="1"/>
      <c r="T142" s="1">
        <v>0.51629000000000003</v>
      </c>
      <c r="U142" s="1">
        <v>0.51056500000000005</v>
      </c>
      <c r="V142" s="1">
        <v>0.51282300000000003</v>
      </c>
      <c r="W142" s="1">
        <v>0.51048400000000005</v>
      </c>
      <c r="X142" s="1">
        <v>0.50758099999999995</v>
      </c>
      <c r="Y142" s="1">
        <v>0.51661299999999999</v>
      </c>
      <c r="Z142" s="1">
        <v>0.512984</v>
      </c>
      <c r="AA142" s="1">
        <v>0.51247699999999996</v>
      </c>
    </row>
    <row r="143" spans="1:27" x14ac:dyDescent="0.3">
      <c r="A143" t="s">
        <v>8</v>
      </c>
      <c r="B143" s="1">
        <v>0.47314499999999998</v>
      </c>
      <c r="C143" s="1">
        <v>0.51201600000000003</v>
      </c>
      <c r="D143" s="1">
        <v>0.46951599999999999</v>
      </c>
      <c r="E143" s="1">
        <v>0.55879000000000001</v>
      </c>
      <c r="F143" s="1">
        <v>0.51959699999999998</v>
      </c>
      <c r="G143" s="1">
        <v>0.49935499999999999</v>
      </c>
      <c r="H143" s="1">
        <v>0.480161</v>
      </c>
      <c r="I143" s="1">
        <v>0.50179700000000005</v>
      </c>
      <c r="J143">
        <f t="shared" si="12"/>
        <v>3.1776659451553439E-2</v>
      </c>
      <c r="K143" s="1">
        <v>0.48233900000000002</v>
      </c>
      <c r="L143" s="1">
        <v>0.45161299999999999</v>
      </c>
      <c r="M143" s="1">
        <v>0.48564499999999999</v>
      </c>
      <c r="N143" s="1">
        <v>0.49370999999999998</v>
      </c>
      <c r="O143" s="1">
        <v>0.50306499999999998</v>
      </c>
      <c r="P143" s="1">
        <v>0.49008099999999999</v>
      </c>
      <c r="Q143" s="1">
        <v>0.42943500000000001</v>
      </c>
      <c r="R143" s="1">
        <v>0.47655500000000001</v>
      </c>
      <c r="S143" s="1"/>
      <c r="T143" s="1">
        <v>0.44758100000000001</v>
      </c>
      <c r="U143" s="1">
        <v>0.42653200000000002</v>
      </c>
      <c r="V143" s="1">
        <v>0.41903200000000002</v>
      </c>
      <c r="W143" s="1">
        <v>0.41137099999999999</v>
      </c>
      <c r="X143" s="1">
        <v>0.46145199999999997</v>
      </c>
      <c r="Y143" s="1">
        <v>0.39427400000000001</v>
      </c>
      <c r="Z143" s="1">
        <v>0.49483899999999997</v>
      </c>
      <c r="AA143" s="1">
        <v>0.43643999999999999</v>
      </c>
    </row>
    <row r="145" spans="1:27" x14ac:dyDescent="0.3">
      <c r="A145" t="s">
        <v>55</v>
      </c>
    </row>
    <row r="146" spans="1:27" x14ac:dyDescent="0.3">
      <c r="A146" t="s">
        <v>169</v>
      </c>
      <c r="B146" t="s">
        <v>1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44</v>
      </c>
      <c r="K146" t="s">
        <v>45</v>
      </c>
      <c r="L146" t="s">
        <v>46</v>
      </c>
      <c r="M146" t="s">
        <v>47</v>
      </c>
      <c r="N146" t="s">
        <v>48</v>
      </c>
      <c r="O146" t="s">
        <v>49</v>
      </c>
    </row>
    <row r="147" spans="1:27" x14ac:dyDescent="0.3">
      <c r="A147" t="s">
        <v>6</v>
      </c>
      <c r="B147" s="1">
        <v>0.5</v>
      </c>
      <c r="C147" s="1">
        <v>0.57259199999999999</v>
      </c>
      <c r="D147" s="1">
        <v>0.54866400000000004</v>
      </c>
      <c r="E147" s="1">
        <v>0.475323</v>
      </c>
      <c r="F147" s="1">
        <v>0.491118</v>
      </c>
      <c r="G147" s="1">
        <v>0.71130199999999999</v>
      </c>
      <c r="H147" s="1">
        <v>0.66123299999999996</v>
      </c>
      <c r="I147" s="1">
        <v>0.73063400000000001</v>
      </c>
      <c r="K147" s="1">
        <v>0.470968</v>
      </c>
      <c r="L147" s="1">
        <v>0.79675099999999999</v>
      </c>
      <c r="M147" s="1">
        <v>0.81555299999999997</v>
      </c>
      <c r="N147" s="1">
        <v>0.77500000000000002</v>
      </c>
      <c r="O147" s="1">
        <v>0.51112899999999994</v>
      </c>
    </row>
    <row r="148" spans="1:27" x14ac:dyDescent="0.3">
      <c r="A148" t="s">
        <v>7</v>
      </c>
      <c r="B148" s="1">
        <v>0.433118</v>
      </c>
      <c r="C148" s="1">
        <v>0.61377899999999996</v>
      </c>
      <c r="D148" s="1">
        <v>0.53532299999999999</v>
      </c>
      <c r="E148" s="1">
        <v>0.54231600000000002</v>
      </c>
      <c r="F148" s="1">
        <v>0.55428599999999995</v>
      </c>
      <c r="G148" s="1">
        <v>0.64114099999999996</v>
      </c>
      <c r="H148" s="1">
        <v>0.68660100000000002</v>
      </c>
      <c r="I148" s="1">
        <v>0.71979300000000002</v>
      </c>
      <c r="K148" s="1">
        <v>0.50163599999999997</v>
      </c>
      <c r="L148" s="1">
        <v>0.79389399999999999</v>
      </c>
      <c r="M148" s="1">
        <v>0.81358299999999995</v>
      </c>
      <c r="N148" s="1">
        <v>0.77433200000000002</v>
      </c>
      <c r="O148" s="1">
        <v>0.51247699999999996</v>
      </c>
    </row>
    <row r="149" spans="1:27" x14ac:dyDescent="0.3">
      <c r="A149" t="s">
        <v>8</v>
      </c>
      <c r="B149" s="1">
        <v>0.49551099999999998</v>
      </c>
      <c r="C149" s="1">
        <v>0.631498</v>
      </c>
      <c r="D149" s="1">
        <v>0.53354800000000002</v>
      </c>
      <c r="E149" s="1">
        <v>0.51207400000000003</v>
      </c>
      <c r="F149" s="1">
        <v>0.50179700000000005</v>
      </c>
      <c r="G149" s="1">
        <v>0.63754599999999995</v>
      </c>
      <c r="H149" s="1">
        <v>0.64362900000000001</v>
      </c>
      <c r="I149" s="1">
        <v>0.62107100000000004</v>
      </c>
      <c r="K149" s="1">
        <v>0.47655500000000001</v>
      </c>
      <c r="L149" s="1">
        <v>0.43465399999999998</v>
      </c>
      <c r="M149" s="1">
        <v>0.531555</v>
      </c>
      <c r="N149" s="1">
        <v>0.33410099999999998</v>
      </c>
      <c r="O149" s="1">
        <v>0.43643999999999999</v>
      </c>
    </row>
    <row r="152" spans="1:27" x14ac:dyDescent="0.3">
      <c r="A152" s="2" t="s">
        <v>56</v>
      </c>
    </row>
    <row r="153" spans="1:27" x14ac:dyDescent="0.3">
      <c r="C153" t="s">
        <v>1</v>
      </c>
    </row>
    <row r="154" spans="1:27" x14ac:dyDescent="0.3">
      <c r="B154" t="s">
        <v>2</v>
      </c>
      <c r="C154" t="s">
        <v>3</v>
      </c>
      <c r="D154" t="s">
        <v>4</v>
      </c>
      <c r="E154" t="s">
        <v>5</v>
      </c>
    </row>
    <row r="155" spans="1:27" x14ac:dyDescent="0.3">
      <c r="A155" t="s">
        <v>6</v>
      </c>
      <c r="B155" s="1">
        <v>0.5</v>
      </c>
      <c r="C155" s="1">
        <v>0.5</v>
      </c>
      <c r="D155" s="1">
        <v>0.5</v>
      </c>
      <c r="E155" s="1">
        <v>0.5</v>
      </c>
    </row>
    <row r="156" spans="1:27" x14ac:dyDescent="0.3">
      <c r="A156" t="s">
        <v>7</v>
      </c>
      <c r="B156" s="1">
        <v>0.35243200000000002</v>
      </c>
      <c r="C156" s="1">
        <v>0.46815299999999999</v>
      </c>
      <c r="D156" s="1">
        <v>0.33175700000000002</v>
      </c>
      <c r="E156" s="1">
        <v>0.38411400000000001</v>
      </c>
    </row>
    <row r="157" spans="1:27" x14ac:dyDescent="0.3">
      <c r="A157" t="s">
        <v>8</v>
      </c>
      <c r="B157" s="1">
        <v>0.28405399999999997</v>
      </c>
      <c r="C157" s="1">
        <v>0.27027000000000001</v>
      </c>
      <c r="D157" s="1">
        <v>0.26072099999999998</v>
      </c>
      <c r="E157" s="1">
        <v>0.27168199999999998</v>
      </c>
    </row>
    <row r="159" spans="1:27" x14ac:dyDescent="0.3">
      <c r="A159" t="s">
        <v>9</v>
      </c>
    </row>
    <row r="160" spans="1:27" x14ac:dyDescent="0.3">
      <c r="B160" t="s">
        <v>10</v>
      </c>
      <c r="C160" t="s">
        <v>11</v>
      </c>
      <c r="D160" t="s">
        <v>12</v>
      </c>
      <c r="E160" t="s">
        <v>13</v>
      </c>
      <c r="F160" t="s">
        <v>14</v>
      </c>
      <c r="G160" t="s">
        <v>15</v>
      </c>
      <c r="H160" t="s">
        <v>16</v>
      </c>
      <c r="I160" t="s">
        <v>17</v>
      </c>
      <c r="K160" t="s">
        <v>18</v>
      </c>
      <c r="L160" t="s">
        <v>19</v>
      </c>
      <c r="M160" t="s">
        <v>20</v>
      </c>
      <c r="N160" t="s">
        <v>21</v>
      </c>
      <c r="O160" t="s">
        <v>22</v>
      </c>
      <c r="P160" t="s">
        <v>23</v>
      </c>
      <c r="Q160" t="s">
        <v>24</v>
      </c>
      <c r="R160" t="s">
        <v>25</v>
      </c>
      <c r="T160" t="s">
        <v>26</v>
      </c>
      <c r="U160" t="s">
        <v>27</v>
      </c>
      <c r="V160" t="s">
        <v>28</v>
      </c>
      <c r="W160" t="s">
        <v>29</v>
      </c>
      <c r="X160" t="s">
        <v>30</v>
      </c>
      <c r="Y160" t="s">
        <v>31</v>
      </c>
      <c r="Z160" t="s">
        <v>32</v>
      </c>
      <c r="AA160" t="s">
        <v>33</v>
      </c>
    </row>
    <row r="161" spans="1:27" x14ac:dyDescent="0.3">
      <c r="A161" t="s">
        <v>6</v>
      </c>
      <c r="B161" s="1">
        <v>0.32896399999999998</v>
      </c>
      <c r="C161" s="1">
        <v>0.32941399999999998</v>
      </c>
      <c r="D161" s="1">
        <v>0.33153199999999999</v>
      </c>
      <c r="E161" s="1">
        <v>0.338694</v>
      </c>
      <c r="F161" s="1">
        <v>0.33455000000000001</v>
      </c>
      <c r="G161" s="1">
        <v>0.332117</v>
      </c>
      <c r="H161" s="1">
        <v>0.339505</v>
      </c>
      <c r="I161" s="1">
        <v>0.33353899999999997</v>
      </c>
      <c r="J161">
        <f t="shared" si="12"/>
        <v>4.0684652143037963E-3</v>
      </c>
      <c r="K161" s="1">
        <v>0.67945900000000004</v>
      </c>
      <c r="L161" s="1">
        <v>0.68013500000000005</v>
      </c>
      <c r="M161" s="1">
        <v>0.67941399999999996</v>
      </c>
      <c r="N161" s="1">
        <v>0.67945900000000004</v>
      </c>
      <c r="O161" s="1">
        <v>0.67891900000000005</v>
      </c>
      <c r="P161" s="1">
        <v>0.68008999999999997</v>
      </c>
      <c r="Q161" s="1">
        <v>0.67941399999999996</v>
      </c>
      <c r="R161" s="1">
        <v>0.67955600000000005</v>
      </c>
      <c r="S161" s="1"/>
      <c r="T161" s="1">
        <v>0.48391899999999999</v>
      </c>
      <c r="U161" s="1">
        <v>0.47945900000000002</v>
      </c>
      <c r="V161" s="1">
        <v>0.47968499999999997</v>
      </c>
      <c r="W161" s="1">
        <v>0.481126</v>
      </c>
      <c r="X161" s="1">
        <v>0.47833300000000001</v>
      </c>
      <c r="Y161" s="1">
        <v>0.48382900000000001</v>
      </c>
      <c r="Z161" s="1">
        <v>0.47977500000000001</v>
      </c>
      <c r="AA161" s="1">
        <v>0.480875</v>
      </c>
    </row>
    <row r="162" spans="1:27" x14ac:dyDescent="0.3">
      <c r="A162" t="s">
        <v>7</v>
      </c>
      <c r="B162" s="1">
        <v>0.41031499999999999</v>
      </c>
      <c r="C162" s="1">
        <v>0.42144100000000001</v>
      </c>
      <c r="D162" s="1">
        <v>0.425676</v>
      </c>
      <c r="E162" s="1">
        <v>0.40373900000000001</v>
      </c>
      <c r="F162" s="1">
        <v>0.414414</v>
      </c>
      <c r="G162" s="1">
        <v>0.41630600000000001</v>
      </c>
      <c r="H162" s="1">
        <v>0.41806300000000002</v>
      </c>
      <c r="I162" s="1">
        <v>0.41570800000000002</v>
      </c>
      <c r="J162">
        <f t="shared" si="12"/>
        <v>7.4594842382030629E-3</v>
      </c>
      <c r="K162" s="1">
        <v>0.47860399999999997</v>
      </c>
      <c r="L162" s="1">
        <v>0.47797299999999998</v>
      </c>
      <c r="M162" s="1">
        <v>0.46837800000000002</v>
      </c>
      <c r="N162" s="1">
        <v>0.435946</v>
      </c>
      <c r="O162" s="1">
        <v>0.45112600000000003</v>
      </c>
      <c r="P162" s="1">
        <v>0.48234199999999999</v>
      </c>
      <c r="Q162" s="1">
        <v>0.44801800000000003</v>
      </c>
      <c r="R162" s="1">
        <v>0.463198</v>
      </c>
      <c r="S162" s="1"/>
      <c r="T162" s="1">
        <v>0.48180200000000001</v>
      </c>
      <c r="U162" s="1">
        <v>0.48009000000000002</v>
      </c>
      <c r="V162" s="1">
        <v>0.48252299999999998</v>
      </c>
      <c r="W162" s="1">
        <v>0.48139599999999999</v>
      </c>
      <c r="X162" s="1">
        <v>0.483288</v>
      </c>
      <c r="Y162" s="1">
        <v>0.48644100000000001</v>
      </c>
      <c r="Z162" s="1">
        <v>0.478964</v>
      </c>
      <c r="AA162" s="1">
        <v>0.482072</v>
      </c>
    </row>
    <row r="163" spans="1:27" x14ac:dyDescent="0.3">
      <c r="A163" t="s">
        <v>8</v>
      </c>
      <c r="B163" s="1">
        <v>0.376081</v>
      </c>
      <c r="C163" s="1">
        <v>0.45283800000000002</v>
      </c>
      <c r="D163" s="1">
        <v>0.445405</v>
      </c>
      <c r="E163" s="1">
        <v>0.36292799999999997</v>
      </c>
      <c r="F163" s="1">
        <v>0.47824299999999997</v>
      </c>
      <c r="G163" s="1">
        <v>0.49184699999999998</v>
      </c>
      <c r="H163" s="1">
        <v>0.37995499999999999</v>
      </c>
      <c r="I163" s="1">
        <v>0.426757</v>
      </c>
      <c r="J163">
        <f t="shared" si="12"/>
        <v>5.2444400069661529E-2</v>
      </c>
      <c r="K163" s="1">
        <v>0.61328800000000006</v>
      </c>
      <c r="L163" s="1">
        <v>0.63423399999999996</v>
      </c>
      <c r="M163" s="1">
        <v>0.61189199999999999</v>
      </c>
      <c r="N163" s="1">
        <v>0.55549499999999996</v>
      </c>
      <c r="O163" s="1">
        <v>0.66337800000000002</v>
      </c>
      <c r="P163" s="1">
        <v>0.51819800000000005</v>
      </c>
      <c r="Q163" s="1">
        <v>0.61653199999999997</v>
      </c>
      <c r="R163" s="1">
        <v>0.60185999999999995</v>
      </c>
      <c r="S163" s="1"/>
      <c r="T163" s="1">
        <v>0.33693699999999999</v>
      </c>
      <c r="U163" s="1">
        <v>0.37508999999999998</v>
      </c>
      <c r="V163" s="1">
        <v>0.34297299999999997</v>
      </c>
      <c r="W163" s="1">
        <v>0.35945899999999997</v>
      </c>
      <c r="X163" s="1">
        <v>0.391351</v>
      </c>
      <c r="Y163" s="1">
        <v>0.33851399999999998</v>
      </c>
      <c r="Z163" s="1">
        <v>0.33288299999999998</v>
      </c>
      <c r="AA163" s="1">
        <v>0.35388700000000001</v>
      </c>
    </row>
    <row r="165" spans="1:27" x14ac:dyDescent="0.3">
      <c r="A165" t="s">
        <v>34</v>
      </c>
    </row>
    <row r="166" spans="1:27" x14ac:dyDescent="0.3">
      <c r="A166" t="s">
        <v>6</v>
      </c>
      <c r="B166" s="1">
        <v>0.29855900000000002</v>
      </c>
      <c r="C166" s="1">
        <v>0.29738700000000001</v>
      </c>
      <c r="D166" s="1">
        <v>0.29842299999999999</v>
      </c>
      <c r="E166" s="1">
        <v>0.29684700000000003</v>
      </c>
      <c r="F166" s="1">
        <v>0.29644100000000001</v>
      </c>
      <c r="G166" s="1">
        <v>0.293964</v>
      </c>
      <c r="H166" s="1">
        <v>0.29711700000000002</v>
      </c>
      <c r="I166" s="1">
        <v>0.29696299999999998</v>
      </c>
      <c r="J166">
        <f t="shared" si="12"/>
        <v>1.4959210874909144E-3</v>
      </c>
      <c r="K166" s="1">
        <v>0.70337799999999995</v>
      </c>
      <c r="L166" s="1">
        <v>0.704955</v>
      </c>
      <c r="M166" s="1">
        <v>0.69581099999999996</v>
      </c>
      <c r="N166" s="1">
        <v>0.70229699999999995</v>
      </c>
      <c r="O166" s="1">
        <v>0.70355900000000005</v>
      </c>
      <c r="P166" s="1">
        <v>0.70243199999999995</v>
      </c>
      <c r="Q166" s="1">
        <v>0.697523</v>
      </c>
      <c r="R166" s="1">
        <v>0.70142199999999999</v>
      </c>
      <c r="S166" s="1"/>
      <c r="T166" s="1">
        <v>0.50247699999999995</v>
      </c>
      <c r="U166" s="1">
        <v>0.50675700000000001</v>
      </c>
      <c r="V166" s="1">
        <v>0.50184700000000004</v>
      </c>
      <c r="W166" s="1">
        <v>0.50234199999999996</v>
      </c>
      <c r="X166" s="1">
        <v>0.50234199999999996</v>
      </c>
      <c r="Y166" s="1">
        <v>0.50225200000000003</v>
      </c>
      <c r="Z166" s="1">
        <v>0.50603600000000004</v>
      </c>
      <c r="AA166" s="1">
        <v>0.50343599999999999</v>
      </c>
    </row>
    <row r="167" spans="1:27" x14ac:dyDescent="0.3">
      <c r="A167" t="s">
        <v>7</v>
      </c>
      <c r="B167" s="1">
        <v>0.29522500000000002</v>
      </c>
      <c r="C167" s="1">
        <v>0.29162199999999999</v>
      </c>
      <c r="D167" s="1">
        <v>0.29414400000000002</v>
      </c>
      <c r="E167" s="1">
        <v>0.29382900000000001</v>
      </c>
      <c r="F167" s="1">
        <v>0.29472999999999999</v>
      </c>
      <c r="G167" s="1">
        <v>0.29729699999999998</v>
      </c>
      <c r="H167" s="1">
        <v>0.29680200000000001</v>
      </c>
      <c r="I167" s="1">
        <v>0.29480699999999999</v>
      </c>
      <c r="J167">
        <f t="shared" si="12"/>
        <v>2.0831328010154936E-3</v>
      </c>
      <c r="K167" s="1">
        <v>0.62180199999999997</v>
      </c>
      <c r="L167" s="1">
        <v>0.63369399999999998</v>
      </c>
      <c r="M167" s="1">
        <v>0.62382899999999997</v>
      </c>
      <c r="N167" s="1">
        <v>0.71563100000000002</v>
      </c>
      <c r="O167" s="1">
        <v>0.64369399999999999</v>
      </c>
      <c r="P167" s="1">
        <v>0.697523</v>
      </c>
      <c r="Q167" s="1">
        <v>0.72788299999999995</v>
      </c>
      <c r="R167" s="1">
        <v>0.66629300000000002</v>
      </c>
      <c r="S167" s="1"/>
      <c r="T167" s="1">
        <v>0.50261299999999998</v>
      </c>
      <c r="U167" s="1">
        <v>0.502162</v>
      </c>
      <c r="V167" s="1">
        <v>0.49855899999999997</v>
      </c>
      <c r="W167" s="1">
        <v>0.50072099999999997</v>
      </c>
      <c r="X167" s="1">
        <v>0.50040499999999999</v>
      </c>
      <c r="Y167" s="1">
        <v>0.503108</v>
      </c>
      <c r="Z167" s="1">
        <v>0.50346800000000003</v>
      </c>
      <c r="AA167" s="1">
        <v>0.50157700000000005</v>
      </c>
    </row>
    <row r="168" spans="1:27" x14ac:dyDescent="0.3">
      <c r="A168" t="s">
        <v>8</v>
      </c>
      <c r="B168" s="1">
        <v>0.28810799999999998</v>
      </c>
      <c r="C168" s="1">
        <v>0.30481999999999998</v>
      </c>
      <c r="D168" s="1">
        <v>0.28986499999999998</v>
      </c>
      <c r="E168" s="1">
        <v>0.30063099999999998</v>
      </c>
      <c r="F168" s="1">
        <v>0.30819800000000003</v>
      </c>
      <c r="G168" s="1">
        <v>0.299595</v>
      </c>
      <c r="H168" s="1">
        <v>0.29873899999999998</v>
      </c>
      <c r="I168" s="1">
        <v>0.29856500000000002</v>
      </c>
      <c r="J168">
        <f t="shared" si="12"/>
        <v>6.2408485320507604E-3</v>
      </c>
      <c r="K168" s="1">
        <v>0.66648600000000002</v>
      </c>
      <c r="L168" s="1">
        <v>0.68256799999999995</v>
      </c>
      <c r="M168" s="1">
        <v>0.59837799999999997</v>
      </c>
      <c r="N168" s="1">
        <v>0.61166699999999996</v>
      </c>
      <c r="O168" s="1">
        <v>0.65144100000000005</v>
      </c>
      <c r="P168" s="1">
        <v>0.65315299999999998</v>
      </c>
      <c r="Q168" s="1">
        <v>0.59031500000000003</v>
      </c>
      <c r="R168" s="1">
        <v>0.63628700000000005</v>
      </c>
      <c r="S168" s="1"/>
      <c r="T168" s="1">
        <v>0.57824299999999995</v>
      </c>
      <c r="U168" s="1">
        <v>0.56175699999999995</v>
      </c>
      <c r="V168" s="1">
        <v>0.57927899999999999</v>
      </c>
      <c r="W168" s="1">
        <v>0.49058600000000002</v>
      </c>
      <c r="X168" s="1">
        <v>0.53842299999999998</v>
      </c>
      <c r="Y168" s="1">
        <v>0.57585600000000003</v>
      </c>
      <c r="Z168" s="1">
        <v>0.513243</v>
      </c>
      <c r="AA168" s="1">
        <v>0.54819799999999996</v>
      </c>
    </row>
    <row r="170" spans="1:27" x14ac:dyDescent="0.3">
      <c r="A170" t="s">
        <v>35</v>
      </c>
    </row>
    <row r="171" spans="1:27" x14ac:dyDescent="0.3">
      <c r="A171" t="s">
        <v>6</v>
      </c>
      <c r="B171" s="1">
        <v>0.24171200000000001</v>
      </c>
      <c r="C171" s="1">
        <v>0.24058599999999999</v>
      </c>
      <c r="D171" s="1">
        <v>0.24072099999999999</v>
      </c>
      <c r="E171" s="1">
        <v>0.238784</v>
      </c>
      <c r="F171" s="1">
        <v>0.24166699999999999</v>
      </c>
      <c r="G171" s="1">
        <v>0.24157699999999999</v>
      </c>
      <c r="H171" s="1">
        <v>0.23968500000000001</v>
      </c>
      <c r="I171" s="1">
        <v>0.240676</v>
      </c>
      <c r="J171">
        <f t="shared" si="12"/>
        <v>1.1123730789023331E-3</v>
      </c>
      <c r="K171" s="1">
        <v>0.796126</v>
      </c>
      <c r="L171" s="1">
        <v>0.79590099999999997</v>
      </c>
      <c r="M171" s="1">
        <v>0.79653200000000002</v>
      </c>
      <c r="N171" s="1">
        <v>0.79544999999999999</v>
      </c>
      <c r="O171" s="1">
        <v>0.79590099999999997</v>
      </c>
      <c r="P171" s="1">
        <v>0.79581100000000005</v>
      </c>
      <c r="Q171" s="1">
        <v>0.79603599999999997</v>
      </c>
      <c r="R171" s="1">
        <v>0.79596500000000003</v>
      </c>
      <c r="S171" s="1"/>
      <c r="T171" s="1">
        <v>0.47797299999999998</v>
      </c>
      <c r="U171" s="1">
        <v>0.47968499999999997</v>
      </c>
      <c r="V171" s="1">
        <v>0.47932399999999997</v>
      </c>
      <c r="W171" s="1">
        <v>0.48396400000000001</v>
      </c>
      <c r="X171" s="1">
        <v>0.48270299999999999</v>
      </c>
      <c r="Y171" s="1">
        <v>0.48117100000000002</v>
      </c>
      <c r="Z171" s="1">
        <v>0.47860399999999997</v>
      </c>
      <c r="AA171" s="1">
        <v>0.480489</v>
      </c>
    </row>
    <row r="172" spans="1:27" x14ac:dyDescent="0.3">
      <c r="A172" t="s">
        <v>7</v>
      </c>
      <c r="B172" s="1">
        <v>0.28635100000000002</v>
      </c>
      <c r="C172" s="1">
        <v>0.28626099999999999</v>
      </c>
      <c r="D172" s="1">
        <v>0.29126099999999999</v>
      </c>
      <c r="E172" s="1">
        <v>0.30545</v>
      </c>
      <c r="F172" s="1">
        <v>0.28527000000000002</v>
      </c>
      <c r="G172" s="1">
        <v>0.29711700000000002</v>
      </c>
      <c r="H172" s="1">
        <v>0.290991</v>
      </c>
      <c r="I172" s="1">
        <v>0.29181499999999999</v>
      </c>
      <c r="J172">
        <f t="shared" si="12"/>
        <v>7.532936505772499E-3</v>
      </c>
      <c r="K172" s="1">
        <v>0.73927900000000002</v>
      </c>
      <c r="L172" s="1">
        <v>0.76378400000000002</v>
      </c>
      <c r="M172" s="1">
        <v>0.71554099999999998</v>
      </c>
      <c r="N172" s="1">
        <v>0.72207200000000005</v>
      </c>
      <c r="O172" s="1">
        <v>0.700901</v>
      </c>
      <c r="P172" s="1">
        <v>0.767432</v>
      </c>
      <c r="Q172" s="1">
        <v>0.78436899999999998</v>
      </c>
      <c r="R172" s="1">
        <v>0.74191099999999999</v>
      </c>
      <c r="S172" s="1"/>
      <c r="T172" s="1">
        <v>0.46936899999999998</v>
      </c>
      <c r="U172" s="1">
        <v>0.47153200000000001</v>
      </c>
      <c r="V172" s="1">
        <v>0.47301799999999999</v>
      </c>
      <c r="W172" s="1">
        <v>0.48126099999999999</v>
      </c>
      <c r="X172" s="1">
        <v>0.48031499999999999</v>
      </c>
      <c r="Y172" s="1">
        <v>0.47351399999999999</v>
      </c>
      <c r="Z172" s="1">
        <v>0.47554099999999999</v>
      </c>
      <c r="AA172" s="1">
        <v>0.47493600000000002</v>
      </c>
    </row>
    <row r="173" spans="1:27" x14ac:dyDescent="0.3">
      <c r="A173" t="s">
        <v>8</v>
      </c>
      <c r="B173" s="1">
        <v>0.28576600000000002</v>
      </c>
      <c r="C173" s="1">
        <v>0.30391899999999999</v>
      </c>
      <c r="D173" s="1">
        <v>0.24846799999999999</v>
      </c>
      <c r="E173" s="1">
        <v>0.25396400000000002</v>
      </c>
      <c r="F173" s="1">
        <v>0.28482000000000002</v>
      </c>
      <c r="G173" s="1">
        <v>0.28765800000000002</v>
      </c>
      <c r="H173" s="1">
        <v>0.26968500000000001</v>
      </c>
      <c r="I173" s="1">
        <v>0.27632600000000002</v>
      </c>
      <c r="J173">
        <f t="shared" si="12"/>
        <v>2.1294635180407917E-2</v>
      </c>
      <c r="K173" s="1">
        <v>0.43481999999999998</v>
      </c>
      <c r="L173" s="1">
        <v>0.36824299999999999</v>
      </c>
      <c r="M173" s="1">
        <v>0.42026999999999998</v>
      </c>
      <c r="N173" s="1">
        <v>0.37927899999999998</v>
      </c>
      <c r="O173" s="1">
        <v>0.387658</v>
      </c>
      <c r="P173" s="1">
        <v>0.33941399999999999</v>
      </c>
      <c r="Q173" s="1">
        <v>0.34720699999999999</v>
      </c>
      <c r="R173" s="1">
        <v>0.382413</v>
      </c>
      <c r="S173" s="1"/>
      <c r="T173" s="1">
        <v>0.254054</v>
      </c>
      <c r="U173" s="1">
        <v>0.25432399999999999</v>
      </c>
      <c r="V173" s="1">
        <v>0.26927899999999999</v>
      </c>
      <c r="W173" s="1">
        <v>0.24770300000000001</v>
      </c>
      <c r="X173" s="1">
        <v>0.25036000000000003</v>
      </c>
      <c r="Y173" s="1">
        <v>0.222027</v>
      </c>
      <c r="Z173" s="1">
        <v>0.22662199999999999</v>
      </c>
      <c r="AA173" s="1">
        <v>0.246338</v>
      </c>
    </row>
    <row r="175" spans="1:27" x14ac:dyDescent="0.3">
      <c r="A175" t="s">
        <v>36</v>
      </c>
    </row>
    <row r="176" spans="1:27" x14ac:dyDescent="0.3">
      <c r="A176" t="s">
        <v>6</v>
      </c>
      <c r="B176" s="1">
        <v>0.25734200000000002</v>
      </c>
      <c r="C176" s="1">
        <v>0.25481999999999999</v>
      </c>
      <c r="D176" s="1">
        <v>0.25738699999999998</v>
      </c>
      <c r="E176" s="1">
        <v>0.25535999999999998</v>
      </c>
      <c r="F176" s="1">
        <v>0.25887399999999999</v>
      </c>
      <c r="G176" s="1">
        <v>0.25549500000000003</v>
      </c>
      <c r="H176" s="1">
        <v>0.25644099999999997</v>
      </c>
      <c r="I176" s="1">
        <v>0.25653199999999998</v>
      </c>
      <c r="J176">
        <f t="shared" si="12"/>
        <v>1.5161439795305246E-3</v>
      </c>
      <c r="K176" s="1">
        <v>0.25450499999999998</v>
      </c>
      <c r="L176" s="1">
        <v>0.25554100000000002</v>
      </c>
      <c r="M176" s="1">
        <v>0.25436900000000001</v>
      </c>
      <c r="N176" s="1">
        <v>0.25459500000000002</v>
      </c>
      <c r="O176" s="1">
        <v>0.25508999999999998</v>
      </c>
      <c r="P176" s="1">
        <v>0.255</v>
      </c>
      <c r="Q176" s="1">
        <v>0.25491000000000003</v>
      </c>
      <c r="R176" s="1">
        <v>0.25485799999999997</v>
      </c>
      <c r="S176" s="1"/>
      <c r="T176" s="1">
        <v>0.33180199999999999</v>
      </c>
      <c r="U176" s="1">
        <v>0.33238699999999999</v>
      </c>
      <c r="V176" s="1">
        <v>0.33180199999999999</v>
      </c>
      <c r="W176" s="1">
        <v>0.33</v>
      </c>
      <c r="X176" s="1">
        <v>0.32463999999999998</v>
      </c>
      <c r="Y176" s="1">
        <v>0.33527000000000001</v>
      </c>
      <c r="Z176" s="1">
        <v>0.33130599999999999</v>
      </c>
      <c r="AA176" s="1">
        <v>0.33102999999999999</v>
      </c>
    </row>
    <row r="177" spans="1:27" x14ac:dyDescent="0.3">
      <c r="A177" t="s">
        <v>7</v>
      </c>
      <c r="B177" s="1">
        <v>0.343559</v>
      </c>
      <c r="C177" s="1">
        <v>0.34576600000000002</v>
      </c>
      <c r="D177" s="1">
        <v>0.34450500000000001</v>
      </c>
      <c r="E177" s="1">
        <v>0.34432400000000002</v>
      </c>
      <c r="F177" s="1">
        <v>0.342387</v>
      </c>
      <c r="G177" s="1">
        <v>0.33972999999999998</v>
      </c>
      <c r="H177" s="1">
        <v>0.34247699999999998</v>
      </c>
      <c r="I177" s="1">
        <v>0.34325</v>
      </c>
      <c r="J177">
        <f t="shared" si="12"/>
        <v>2.1342602855946922E-3</v>
      </c>
      <c r="K177" s="1">
        <v>0.32531500000000002</v>
      </c>
      <c r="L177" s="1">
        <v>0.32405400000000001</v>
      </c>
      <c r="M177" s="1">
        <v>0.32319799999999999</v>
      </c>
      <c r="N177" s="1">
        <v>0.32855899999999999</v>
      </c>
      <c r="O177" s="1">
        <v>0.32617099999999999</v>
      </c>
      <c r="P177" s="1">
        <v>0.32459500000000002</v>
      </c>
      <c r="Q177" s="1">
        <v>0.32567600000000002</v>
      </c>
      <c r="R177" s="1">
        <v>0.32536700000000002</v>
      </c>
      <c r="S177" s="1"/>
      <c r="T177" s="1">
        <v>0.33180199999999999</v>
      </c>
      <c r="U177" s="1">
        <v>0.33220699999999997</v>
      </c>
      <c r="V177" s="1">
        <v>0.33027000000000001</v>
      </c>
      <c r="W177" s="1">
        <v>0.33072099999999999</v>
      </c>
      <c r="X177" s="1">
        <v>0.32549499999999998</v>
      </c>
      <c r="Y177" s="1">
        <v>0.33509</v>
      </c>
      <c r="Z177" s="1">
        <v>0.33022499999999999</v>
      </c>
      <c r="AA177" s="1">
        <v>0.33083000000000001</v>
      </c>
    </row>
    <row r="178" spans="1:27" x14ac:dyDescent="0.3">
      <c r="A178" t="s">
        <v>8</v>
      </c>
      <c r="B178" s="1">
        <v>0.28148600000000001</v>
      </c>
      <c r="C178" s="1">
        <v>0.31590099999999999</v>
      </c>
      <c r="D178" s="1">
        <v>0.28126099999999998</v>
      </c>
      <c r="E178" s="1">
        <v>0.26752300000000001</v>
      </c>
      <c r="F178" s="1">
        <v>0.27918900000000002</v>
      </c>
      <c r="G178" s="1">
        <v>0.27986499999999997</v>
      </c>
      <c r="H178" s="1">
        <v>0.28563100000000002</v>
      </c>
      <c r="I178" s="1">
        <v>0.28440799999999999</v>
      </c>
      <c r="J178">
        <f t="shared" si="12"/>
        <v>1.6338698895566925E-2</v>
      </c>
      <c r="K178" s="1">
        <v>0.26896399999999998</v>
      </c>
      <c r="L178" s="1">
        <v>0.25770300000000002</v>
      </c>
      <c r="M178" s="1">
        <v>0.27396399999999999</v>
      </c>
      <c r="N178" s="1">
        <v>0.26067600000000002</v>
      </c>
      <c r="O178" s="1">
        <v>0.29391899999999999</v>
      </c>
      <c r="P178" s="1">
        <v>0.28081099999999998</v>
      </c>
      <c r="Q178" s="1">
        <v>0.25198199999999998</v>
      </c>
      <c r="R178" s="1">
        <v>0.26971699999999998</v>
      </c>
      <c r="S178" s="1"/>
      <c r="T178" s="1">
        <v>0.315</v>
      </c>
      <c r="U178" s="1">
        <v>0.30414400000000003</v>
      </c>
      <c r="V178" s="1">
        <v>0.31211699999999998</v>
      </c>
      <c r="W178" s="1">
        <v>0.30707200000000001</v>
      </c>
      <c r="X178" s="1">
        <v>0.33423399999999998</v>
      </c>
      <c r="Y178" s="1">
        <v>0.32455000000000001</v>
      </c>
      <c r="Z178" s="1">
        <v>0.33630599999999999</v>
      </c>
      <c r="AA178" s="1">
        <v>0.31906000000000001</v>
      </c>
    </row>
    <row r="180" spans="1:27" x14ac:dyDescent="0.3">
      <c r="A180" t="s">
        <v>57</v>
      </c>
    </row>
    <row r="181" spans="1:27" x14ac:dyDescent="0.3">
      <c r="A181" t="s">
        <v>169</v>
      </c>
      <c r="B181" t="s">
        <v>1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44</v>
      </c>
      <c r="K181" t="s">
        <v>45</v>
      </c>
      <c r="L181" t="s">
        <v>46</v>
      </c>
      <c r="M181" t="s">
        <v>47</v>
      </c>
      <c r="N181" t="s">
        <v>48</v>
      </c>
      <c r="O181" t="s">
        <v>49</v>
      </c>
    </row>
    <row r="182" spans="1:27" x14ac:dyDescent="0.3">
      <c r="A182" t="s">
        <v>6</v>
      </c>
      <c r="B182" s="1">
        <v>0.5</v>
      </c>
      <c r="C182" s="1">
        <v>0.33353899999999997</v>
      </c>
      <c r="D182" s="1">
        <v>0.29696299999999998</v>
      </c>
      <c r="E182" s="1">
        <v>0.240676</v>
      </c>
      <c r="F182" s="1">
        <v>0.25653199999999998</v>
      </c>
      <c r="G182" s="1">
        <v>0.67955600000000005</v>
      </c>
      <c r="H182" s="1">
        <v>0.70142199999999999</v>
      </c>
      <c r="I182" s="1">
        <v>0.79596500000000003</v>
      </c>
      <c r="K182" s="1">
        <v>0.25485799999999997</v>
      </c>
      <c r="L182" s="1">
        <v>0.480875</v>
      </c>
      <c r="M182" s="1">
        <v>0.50343599999999999</v>
      </c>
      <c r="N182" s="1">
        <v>0.480489</v>
      </c>
      <c r="O182" s="1">
        <v>0.33102999999999999</v>
      </c>
    </row>
    <row r="183" spans="1:27" x14ac:dyDescent="0.3">
      <c r="A183" t="s">
        <v>7</v>
      </c>
      <c r="B183" s="1">
        <v>0.38411400000000001</v>
      </c>
      <c r="C183" s="1">
        <v>0.41570800000000002</v>
      </c>
      <c r="D183" s="1">
        <v>0.29480699999999999</v>
      </c>
      <c r="E183" s="1">
        <v>0.29181499999999999</v>
      </c>
      <c r="F183" s="1">
        <v>0.34325</v>
      </c>
      <c r="G183" s="1">
        <v>0.463198</v>
      </c>
      <c r="H183" s="1">
        <v>0.66629300000000002</v>
      </c>
      <c r="I183" s="1">
        <v>0.74191099999999999</v>
      </c>
      <c r="K183" s="1">
        <v>0.32536700000000002</v>
      </c>
      <c r="L183" s="1">
        <v>0.482072</v>
      </c>
      <c r="M183" s="1">
        <v>0.50157700000000005</v>
      </c>
      <c r="N183" s="1">
        <v>0.47493600000000002</v>
      </c>
      <c r="O183" s="1">
        <v>0.33083000000000001</v>
      </c>
    </row>
    <row r="184" spans="1:27" x14ac:dyDescent="0.3">
      <c r="A184" t="s">
        <v>8</v>
      </c>
      <c r="B184" s="1">
        <v>0.27168199999999998</v>
      </c>
      <c r="C184" s="1">
        <v>0.426757</v>
      </c>
      <c r="D184" s="1">
        <v>0.29856500000000002</v>
      </c>
      <c r="E184" s="1">
        <v>0.27632600000000002</v>
      </c>
      <c r="F184" s="1">
        <v>0.28440799999999999</v>
      </c>
      <c r="G184" s="1">
        <v>0.60185999999999995</v>
      </c>
      <c r="H184" s="1">
        <v>0.63628700000000005</v>
      </c>
      <c r="I184" s="1">
        <v>0.382413</v>
      </c>
      <c r="K184" s="1">
        <v>0.26971699999999998</v>
      </c>
      <c r="L184" s="1">
        <v>0.35388700000000001</v>
      </c>
      <c r="M184" s="1">
        <v>0.54819799999999996</v>
      </c>
      <c r="N184" s="1">
        <v>0.246338</v>
      </c>
      <c r="O184" s="1">
        <v>0.31906000000000001</v>
      </c>
    </row>
    <row r="187" spans="1:27" x14ac:dyDescent="0.3">
      <c r="A187" s="2" t="s">
        <v>58</v>
      </c>
    </row>
    <row r="188" spans="1:27" x14ac:dyDescent="0.3">
      <c r="C188" t="s">
        <v>1</v>
      </c>
    </row>
    <row r="189" spans="1:27" x14ac:dyDescent="0.3">
      <c r="B189" t="s">
        <v>2</v>
      </c>
      <c r="C189" t="s">
        <v>3</v>
      </c>
      <c r="D189" t="s">
        <v>4</v>
      </c>
      <c r="E189" t="s">
        <v>5</v>
      </c>
    </row>
    <row r="190" spans="1:27" x14ac:dyDescent="0.3">
      <c r="A190" t="s">
        <v>6</v>
      </c>
      <c r="B190" s="1">
        <v>0.5</v>
      </c>
      <c r="C190" s="1">
        <v>0.5</v>
      </c>
      <c r="D190" s="1">
        <v>0.5</v>
      </c>
      <c r="E190" s="1">
        <v>0.5</v>
      </c>
    </row>
    <row r="191" spans="1:27" x14ac:dyDescent="0.3">
      <c r="A191" t="s">
        <v>7</v>
      </c>
      <c r="B191" s="1">
        <v>0.42569899999999999</v>
      </c>
      <c r="C191" s="1">
        <v>0.53247299999999997</v>
      </c>
      <c r="D191" s="1">
        <v>0.39575300000000002</v>
      </c>
      <c r="E191" s="1">
        <v>0.45130799999999999</v>
      </c>
    </row>
    <row r="192" spans="1:27" x14ac:dyDescent="0.3">
      <c r="A192" t="s">
        <v>8</v>
      </c>
      <c r="B192" s="1">
        <v>0.404086</v>
      </c>
      <c r="C192" s="1">
        <v>0.42467700000000003</v>
      </c>
      <c r="D192" s="1">
        <v>0.37408599999999997</v>
      </c>
      <c r="E192" s="1">
        <v>0.40094999999999997</v>
      </c>
    </row>
    <row r="194" spans="1:27" x14ac:dyDescent="0.3">
      <c r="A194" t="s">
        <v>9</v>
      </c>
    </row>
    <row r="195" spans="1:27" x14ac:dyDescent="0.3">
      <c r="B195" t="s">
        <v>10</v>
      </c>
      <c r="C195" t="s">
        <v>11</v>
      </c>
      <c r="D195" t="s">
        <v>12</v>
      </c>
      <c r="E195" t="s">
        <v>13</v>
      </c>
      <c r="F195" t="s">
        <v>14</v>
      </c>
      <c r="G195" t="s">
        <v>15</v>
      </c>
      <c r="H195" t="s">
        <v>16</v>
      </c>
      <c r="I195" t="s">
        <v>17</v>
      </c>
      <c r="K195" t="s">
        <v>18</v>
      </c>
      <c r="L195" t="s">
        <v>19</v>
      </c>
      <c r="M195" t="s">
        <v>20</v>
      </c>
      <c r="N195" t="s">
        <v>21</v>
      </c>
      <c r="O195" t="s">
        <v>22</v>
      </c>
      <c r="P195" t="s">
        <v>23</v>
      </c>
      <c r="Q195" t="s">
        <v>24</v>
      </c>
      <c r="R195" t="s">
        <v>25</v>
      </c>
      <c r="T195" t="s">
        <v>26</v>
      </c>
      <c r="U195" t="s">
        <v>27</v>
      </c>
      <c r="V195" t="s">
        <v>28</v>
      </c>
      <c r="W195" t="s">
        <v>29</v>
      </c>
      <c r="X195" t="s">
        <v>30</v>
      </c>
      <c r="Y195" t="s">
        <v>31</v>
      </c>
      <c r="Z195" t="s">
        <v>32</v>
      </c>
      <c r="AA195" t="s">
        <v>33</v>
      </c>
    </row>
    <row r="196" spans="1:27" x14ac:dyDescent="0.3">
      <c r="A196" t="s">
        <v>6</v>
      </c>
      <c r="B196" s="1">
        <v>0.45462399999999997</v>
      </c>
      <c r="C196" s="1">
        <v>0.46193499999999998</v>
      </c>
      <c r="D196" s="1">
        <v>0.46134399999999998</v>
      </c>
      <c r="E196" s="1">
        <v>0.461559</v>
      </c>
      <c r="F196" s="1">
        <v>0.46118300000000001</v>
      </c>
      <c r="G196" s="1">
        <v>0.46128999999999998</v>
      </c>
      <c r="H196" s="1">
        <v>0.46118300000000001</v>
      </c>
      <c r="I196" s="1">
        <v>0.46044499999999999</v>
      </c>
      <c r="J196">
        <f t="shared" ref="J196:J247" si="13">_xlfn.STDEV.S(C196:H196)</f>
        <v>2.8963678403590815E-4</v>
      </c>
      <c r="K196" s="1">
        <v>0.65290300000000001</v>
      </c>
      <c r="L196" s="1">
        <v>0.65317199999999997</v>
      </c>
      <c r="M196" s="1">
        <v>0.65123699999999995</v>
      </c>
      <c r="N196" s="1">
        <v>0.65268800000000005</v>
      </c>
      <c r="O196" s="1">
        <v>0.652258</v>
      </c>
      <c r="P196" s="1">
        <v>0.65258099999999997</v>
      </c>
      <c r="Q196" s="1">
        <v>0.65365600000000001</v>
      </c>
      <c r="R196" s="1">
        <v>0.65264200000000006</v>
      </c>
      <c r="S196" s="1"/>
      <c r="T196" s="1">
        <v>0.63849500000000003</v>
      </c>
      <c r="U196" s="1">
        <v>0.63548400000000005</v>
      </c>
      <c r="V196" s="1">
        <v>0.63392499999999996</v>
      </c>
      <c r="W196" s="1">
        <v>0.63693500000000003</v>
      </c>
      <c r="X196" s="1">
        <v>0.63693500000000003</v>
      </c>
      <c r="Y196" s="1">
        <v>0.63747299999999996</v>
      </c>
      <c r="Z196" s="1">
        <v>0.637903</v>
      </c>
      <c r="AA196" s="1">
        <v>0.63673599999999997</v>
      </c>
    </row>
    <row r="197" spans="1:27" x14ac:dyDescent="0.3">
      <c r="A197" t="s">
        <v>7</v>
      </c>
      <c r="B197" s="1">
        <v>0.50419400000000003</v>
      </c>
      <c r="C197" s="1">
        <v>0.505054</v>
      </c>
      <c r="D197" s="1">
        <v>0.52430100000000002</v>
      </c>
      <c r="E197" s="1">
        <v>0.50204300000000002</v>
      </c>
      <c r="F197" s="1">
        <v>0.51446199999999997</v>
      </c>
      <c r="G197" s="1">
        <v>0.51209700000000002</v>
      </c>
      <c r="H197" s="1">
        <v>0.51225799999999999</v>
      </c>
      <c r="I197" s="1">
        <v>0.51063000000000003</v>
      </c>
      <c r="J197">
        <f t="shared" si="13"/>
        <v>7.8014068667132076E-3</v>
      </c>
      <c r="K197" s="1">
        <v>0.59032300000000004</v>
      </c>
      <c r="L197" s="1">
        <v>0.57010799999999995</v>
      </c>
      <c r="M197" s="1">
        <v>0.58064499999999997</v>
      </c>
      <c r="N197" s="1">
        <v>0.55801100000000003</v>
      </c>
      <c r="O197" s="1">
        <v>0.58236600000000005</v>
      </c>
      <c r="P197" s="1">
        <v>0.57935499999999995</v>
      </c>
      <c r="Q197" s="1">
        <v>0.54327999999999999</v>
      </c>
      <c r="R197" s="1">
        <v>0.57201199999999996</v>
      </c>
      <c r="S197" s="1"/>
      <c r="T197" s="1">
        <v>0.63483900000000004</v>
      </c>
      <c r="U197" s="1">
        <v>0.64107499999999995</v>
      </c>
      <c r="V197" s="1">
        <v>0.63349500000000003</v>
      </c>
      <c r="W197" s="1">
        <v>0.63569900000000001</v>
      </c>
      <c r="X197" s="1">
        <v>0.64053800000000005</v>
      </c>
      <c r="Y197" s="1">
        <v>0.64080599999999999</v>
      </c>
      <c r="Z197" s="1">
        <v>0.637957</v>
      </c>
      <c r="AA197" s="1">
        <v>0.63777300000000003</v>
      </c>
    </row>
    <row r="198" spans="1:27" x14ac:dyDescent="0.3">
      <c r="A198" t="s">
        <v>8</v>
      </c>
      <c r="B198" s="1">
        <v>0.51430100000000001</v>
      </c>
      <c r="C198" s="1">
        <v>0.51860200000000001</v>
      </c>
      <c r="D198" s="1">
        <v>0.54139800000000005</v>
      </c>
      <c r="E198" s="1">
        <v>0.50451599999999996</v>
      </c>
      <c r="F198" s="1">
        <v>0.54489200000000004</v>
      </c>
      <c r="G198" s="1">
        <v>0.55215099999999995</v>
      </c>
      <c r="H198" s="1">
        <v>0.47037600000000002</v>
      </c>
      <c r="I198" s="1">
        <v>0.52089099999999999</v>
      </c>
      <c r="J198">
        <f t="shared" si="13"/>
        <v>3.095700954818903E-2</v>
      </c>
      <c r="K198" s="1">
        <v>0.60080599999999995</v>
      </c>
      <c r="L198" s="1">
        <v>0.55763399999999996</v>
      </c>
      <c r="M198" s="1">
        <v>0.59645199999999998</v>
      </c>
      <c r="N198" s="1">
        <v>0.58166700000000005</v>
      </c>
      <c r="O198" s="1">
        <v>0.63451599999999997</v>
      </c>
      <c r="P198" s="1">
        <v>0.55198899999999995</v>
      </c>
      <c r="Q198" s="1">
        <v>0.57844099999999998</v>
      </c>
      <c r="R198" s="1">
        <v>0.58592900000000003</v>
      </c>
      <c r="S198" s="1"/>
      <c r="T198" s="1">
        <v>0.46607500000000002</v>
      </c>
      <c r="U198" s="1">
        <v>0.48537599999999997</v>
      </c>
      <c r="V198" s="1">
        <v>0.47440900000000003</v>
      </c>
      <c r="W198" s="1">
        <v>0.454677</v>
      </c>
      <c r="X198" s="1">
        <v>0.49967699999999998</v>
      </c>
      <c r="Y198" s="1">
        <v>0.44467699999999999</v>
      </c>
      <c r="Z198" s="1">
        <v>0.440108</v>
      </c>
      <c r="AA198" s="1">
        <v>0.46642899999999998</v>
      </c>
    </row>
    <row r="200" spans="1:27" x14ac:dyDescent="0.3">
      <c r="A200" t="s">
        <v>34</v>
      </c>
    </row>
    <row r="201" spans="1:27" x14ac:dyDescent="0.3">
      <c r="A201" t="s">
        <v>6</v>
      </c>
      <c r="B201" s="1">
        <v>0.398011</v>
      </c>
      <c r="C201" s="1">
        <v>0.39871000000000001</v>
      </c>
      <c r="D201" s="1">
        <v>0.39392500000000003</v>
      </c>
      <c r="E201" s="1">
        <v>0.39596799999999999</v>
      </c>
      <c r="F201" s="1">
        <v>0.39860200000000001</v>
      </c>
      <c r="G201" s="1">
        <v>0.39628999999999998</v>
      </c>
      <c r="H201" s="1">
        <v>0.398065</v>
      </c>
      <c r="I201" s="1">
        <v>0.39708100000000002</v>
      </c>
      <c r="J201">
        <f t="shared" si="13"/>
        <v>1.8770834469108355E-3</v>
      </c>
      <c r="K201" s="1">
        <v>0.63618300000000005</v>
      </c>
      <c r="L201" s="1">
        <v>0.63736599999999999</v>
      </c>
      <c r="M201" s="1">
        <v>0.62650499999999998</v>
      </c>
      <c r="N201" s="1">
        <v>0.63602199999999998</v>
      </c>
      <c r="O201" s="1">
        <v>0.63677399999999995</v>
      </c>
      <c r="P201" s="1">
        <v>0.63623700000000005</v>
      </c>
      <c r="Q201" s="1">
        <v>0.62747299999999995</v>
      </c>
      <c r="R201" s="1">
        <v>0.63379399999999997</v>
      </c>
      <c r="S201" s="1"/>
      <c r="T201" s="1">
        <v>0.62209700000000001</v>
      </c>
      <c r="U201" s="1">
        <v>0.62322599999999995</v>
      </c>
      <c r="V201" s="1">
        <v>0.61978500000000003</v>
      </c>
      <c r="W201" s="1">
        <v>0.62010799999999999</v>
      </c>
      <c r="X201" s="1">
        <v>0.62032299999999996</v>
      </c>
      <c r="Y201" s="1">
        <v>0.62026899999999996</v>
      </c>
      <c r="Z201" s="1">
        <v>0.62553800000000004</v>
      </c>
      <c r="AA201" s="1">
        <v>0.62162099999999998</v>
      </c>
    </row>
    <row r="202" spans="1:27" x14ac:dyDescent="0.3">
      <c r="A202" t="s">
        <v>7</v>
      </c>
      <c r="B202" s="1">
        <v>0.38989200000000002</v>
      </c>
      <c r="C202" s="1">
        <v>0.38634400000000002</v>
      </c>
      <c r="D202" s="1">
        <v>0.38731199999999999</v>
      </c>
      <c r="E202" s="1">
        <v>0.38774199999999998</v>
      </c>
      <c r="F202" s="1">
        <v>0.39005400000000001</v>
      </c>
      <c r="G202" s="1">
        <v>0.39268799999999998</v>
      </c>
      <c r="H202" s="1">
        <v>0.38962400000000003</v>
      </c>
      <c r="I202" s="1">
        <v>0.389094</v>
      </c>
      <c r="J202">
        <f t="shared" si="13"/>
        <v>2.3055844089225289E-3</v>
      </c>
      <c r="K202" s="1">
        <v>0.68290300000000004</v>
      </c>
      <c r="L202" s="1">
        <v>0.68478499999999998</v>
      </c>
      <c r="M202" s="1">
        <v>0.642204</v>
      </c>
      <c r="N202" s="1">
        <v>0.67118299999999997</v>
      </c>
      <c r="O202" s="1">
        <v>0.61381699999999995</v>
      </c>
      <c r="P202" s="1">
        <v>0.63483900000000004</v>
      </c>
      <c r="Q202" s="1">
        <v>0.68381700000000001</v>
      </c>
      <c r="R202" s="1">
        <v>0.65907800000000005</v>
      </c>
      <c r="S202" s="1"/>
      <c r="T202" s="1">
        <v>0.62440899999999999</v>
      </c>
      <c r="U202" s="1">
        <v>0.62414000000000003</v>
      </c>
      <c r="V202" s="1">
        <v>0.61715100000000001</v>
      </c>
      <c r="W202" s="1">
        <v>0.62129000000000001</v>
      </c>
      <c r="X202" s="1">
        <v>0.62462399999999996</v>
      </c>
      <c r="Y202" s="1">
        <v>0.62392499999999995</v>
      </c>
      <c r="Z202" s="1">
        <v>0.62623700000000004</v>
      </c>
      <c r="AA202" s="1">
        <v>0.62311099999999997</v>
      </c>
    </row>
    <row r="203" spans="1:27" x14ac:dyDescent="0.3">
      <c r="A203" t="s">
        <v>8</v>
      </c>
      <c r="B203" s="1">
        <v>0.37193500000000002</v>
      </c>
      <c r="C203" s="1">
        <v>0.41978500000000002</v>
      </c>
      <c r="D203" s="1">
        <v>0.36118299999999998</v>
      </c>
      <c r="E203" s="1">
        <v>0.39752700000000002</v>
      </c>
      <c r="F203" s="1">
        <v>0.398065</v>
      </c>
      <c r="G203" s="1">
        <v>0.41290300000000002</v>
      </c>
      <c r="H203" s="1">
        <v>0.37446200000000002</v>
      </c>
      <c r="I203" s="1">
        <v>0.39083699999999999</v>
      </c>
      <c r="J203">
        <f t="shared" si="13"/>
        <v>2.2404649443809661E-2</v>
      </c>
      <c r="K203" s="1">
        <v>0.61795699999999998</v>
      </c>
      <c r="L203" s="1">
        <v>0.61392500000000005</v>
      </c>
      <c r="M203" s="1">
        <v>0.56908599999999998</v>
      </c>
      <c r="N203" s="1">
        <v>0.56978499999999999</v>
      </c>
      <c r="O203" s="1">
        <v>0.61</v>
      </c>
      <c r="P203" s="1">
        <v>0.62392499999999995</v>
      </c>
      <c r="Q203" s="1">
        <v>0.57489199999999996</v>
      </c>
      <c r="R203" s="1">
        <v>0.59708099999999997</v>
      </c>
      <c r="S203" s="1"/>
      <c r="T203" s="1">
        <v>0.60446200000000005</v>
      </c>
      <c r="U203" s="1">
        <v>0.60828000000000004</v>
      </c>
      <c r="V203" s="1">
        <v>0.56489199999999995</v>
      </c>
      <c r="W203" s="1">
        <v>0.48370999999999997</v>
      </c>
      <c r="X203" s="1">
        <v>0.55333299999999996</v>
      </c>
      <c r="Y203" s="1">
        <v>0.56317200000000001</v>
      </c>
      <c r="Z203" s="1">
        <v>0.59666699999999995</v>
      </c>
      <c r="AA203" s="1">
        <v>0.56778799999999996</v>
      </c>
    </row>
    <row r="205" spans="1:27" x14ac:dyDescent="0.3">
      <c r="A205" t="s">
        <v>35</v>
      </c>
    </row>
    <row r="206" spans="1:27" x14ac:dyDescent="0.3">
      <c r="A206" t="s">
        <v>6</v>
      </c>
      <c r="B206" s="1">
        <v>0.30279600000000001</v>
      </c>
      <c r="C206" s="1">
        <v>0.30419400000000002</v>
      </c>
      <c r="D206" s="1">
        <v>0.30440899999999999</v>
      </c>
      <c r="E206" s="1">
        <v>0.305753</v>
      </c>
      <c r="F206" s="1">
        <v>0.30548399999999998</v>
      </c>
      <c r="G206" s="1">
        <v>0.30521500000000001</v>
      </c>
      <c r="H206" s="1">
        <v>0.3</v>
      </c>
      <c r="I206" s="1">
        <v>0.30397800000000003</v>
      </c>
      <c r="J206">
        <f t="shared" si="13"/>
        <v>2.1340526157212422E-3</v>
      </c>
      <c r="K206" s="1">
        <v>0.701129</v>
      </c>
      <c r="L206" s="1">
        <v>0.70096800000000004</v>
      </c>
      <c r="M206" s="1">
        <v>0.70150500000000005</v>
      </c>
      <c r="N206" s="1">
        <v>0.7</v>
      </c>
      <c r="O206" s="1">
        <v>0.69983899999999999</v>
      </c>
      <c r="P206" s="1">
        <v>0.70064499999999996</v>
      </c>
      <c r="Q206" s="1">
        <v>0.701129</v>
      </c>
      <c r="R206" s="1">
        <v>0.70074499999999995</v>
      </c>
      <c r="S206" s="1"/>
      <c r="T206" s="1">
        <v>0.598495</v>
      </c>
      <c r="U206" s="1">
        <v>0.60026900000000005</v>
      </c>
      <c r="V206" s="1">
        <v>0.59887100000000004</v>
      </c>
      <c r="W206" s="1">
        <v>0.60591399999999995</v>
      </c>
      <c r="X206" s="1">
        <v>0.60489199999999999</v>
      </c>
      <c r="Y206" s="1">
        <v>0.60128999999999999</v>
      </c>
      <c r="Z206" s="1">
        <v>0.60005399999999998</v>
      </c>
      <c r="AA206" s="1">
        <v>0.60139799999999999</v>
      </c>
    </row>
    <row r="207" spans="1:27" x14ac:dyDescent="0.3">
      <c r="A207" t="s">
        <v>7</v>
      </c>
      <c r="B207" s="1">
        <v>0.37392500000000001</v>
      </c>
      <c r="C207" s="1">
        <v>0.36752699999999999</v>
      </c>
      <c r="D207" s="1">
        <v>0.37720399999999998</v>
      </c>
      <c r="E207" s="1">
        <v>0.38822600000000002</v>
      </c>
      <c r="F207" s="1">
        <v>0.36059099999999999</v>
      </c>
      <c r="G207" s="1">
        <v>0.37032300000000001</v>
      </c>
      <c r="H207" s="1">
        <v>0.36903200000000003</v>
      </c>
      <c r="I207" s="1">
        <v>0.37240400000000001</v>
      </c>
      <c r="J207">
        <f t="shared" si="13"/>
        <v>9.5081349748517997E-3</v>
      </c>
      <c r="K207" s="1">
        <v>0.66462399999999999</v>
      </c>
      <c r="L207" s="1">
        <v>0.647366</v>
      </c>
      <c r="M207" s="1">
        <v>0.68252699999999999</v>
      </c>
      <c r="N207" s="1">
        <v>0.68973099999999998</v>
      </c>
      <c r="O207" s="1">
        <v>0.73360199999999998</v>
      </c>
      <c r="P207" s="1">
        <v>0.70102200000000003</v>
      </c>
      <c r="Q207" s="1">
        <v>0.57908599999999999</v>
      </c>
      <c r="R207" s="1">
        <v>0.67113699999999998</v>
      </c>
      <c r="S207" s="1"/>
      <c r="T207" s="1">
        <v>0.59607500000000002</v>
      </c>
      <c r="U207" s="1">
        <v>0.60209699999999999</v>
      </c>
      <c r="V207" s="1">
        <v>0.60290299999999997</v>
      </c>
      <c r="W207" s="1">
        <v>0.61333300000000002</v>
      </c>
      <c r="X207" s="1">
        <v>0.60720399999999997</v>
      </c>
      <c r="Y207" s="1">
        <v>0.60172000000000003</v>
      </c>
      <c r="Z207" s="1">
        <v>0.60290299999999997</v>
      </c>
      <c r="AA207" s="1">
        <v>0.60374799999999995</v>
      </c>
    </row>
    <row r="208" spans="1:27" x14ac:dyDescent="0.3">
      <c r="A208" t="s">
        <v>8</v>
      </c>
      <c r="B208" s="1">
        <v>0.34112900000000002</v>
      </c>
      <c r="C208" s="1">
        <v>0.35430099999999998</v>
      </c>
      <c r="D208" s="1">
        <v>0.33021499999999998</v>
      </c>
      <c r="E208" s="1">
        <v>0.30693500000000001</v>
      </c>
      <c r="F208" s="1">
        <v>0.34279599999999999</v>
      </c>
      <c r="G208" s="1">
        <v>0.35166700000000001</v>
      </c>
      <c r="H208" s="1">
        <v>0.33338699999999999</v>
      </c>
      <c r="I208" s="1">
        <v>0.337204</v>
      </c>
      <c r="J208">
        <f t="shared" si="13"/>
        <v>1.7377106921656043E-2</v>
      </c>
      <c r="K208" s="1">
        <v>0.490699</v>
      </c>
      <c r="L208" s="1">
        <v>0.49505399999999999</v>
      </c>
      <c r="M208" s="1">
        <v>0.49370999999999998</v>
      </c>
      <c r="N208" s="1">
        <v>0.46774199999999999</v>
      </c>
      <c r="O208" s="1">
        <v>0.48833300000000002</v>
      </c>
      <c r="P208" s="1">
        <v>0.44387100000000002</v>
      </c>
      <c r="Q208" s="1">
        <v>0.49790299999999998</v>
      </c>
      <c r="R208" s="1">
        <v>0.48247299999999999</v>
      </c>
      <c r="S208" s="1"/>
      <c r="T208" s="1">
        <v>0.34505400000000003</v>
      </c>
      <c r="U208" s="1">
        <v>0.332903</v>
      </c>
      <c r="V208" s="1">
        <v>0.351989</v>
      </c>
      <c r="W208" s="1">
        <v>0.34392499999999998</v>
      </c>
      <c r="X208" s="1">
        <v>0.37516100000000002</v>
      </c>
      <c r="Y208" s="1">
        <v>0.36688199999999999</v>
      </c>
      <c r="Z208" s="1">
        <v>0.37779600000000002</v>
      </c>
      <c r="AA208" s="1">
        <v>0.35624400000000001</v>
      </c>
    </row>
    <row r="210" spans="1:27" x14ac:dyDescent="0.3">
      <c r="A210" t="s">
        <v>36</v>
      </c>
    </row>
    <row r="211" spans="1:27" x14ac:dyDescent="0.3">
      <c r="A211" t="s">
        <v>6</v>
      </c>
      <c r="B211" s="1">
        <v>0.321774</v>
      </c>
      <c r="C211" s="1">
        <v>0.32279600000000003</v>
      </c>
      <c r="D211" s="1">
        <v>0.32387100000000002</v>
      </c>
      <c r="E211" s="1">
        <v>0.32274199999999997</v>
      </c>
      <c r="F211" s="1">
        <v>0.32263399999999998</v>
      </c>
      <c r="G211" s="1">
        <v>0.321129</v>
      </c>
      <c r="H211" s="1">
        <v>0.32166699999999998</v>
      </c>
      <c r="I211" s="1">
        <v>0.32237300000000002</v>
      </c>
      <c r="J211">
        <f t="shared" si="13"/>
        <v>9.6051932133959931E-4</v>
      </c>
      <c r="K211" s="1">
        <v>0.31548399999999999</v>
      </c>
      <c r="L211" s="1">
        <v>0.31698900000000002</v>
      </c>
      <c r="M211" s="1">
        <v>0.31951600000000002</v>
      </c>
      <c r="N211" s="1">
        <v>0.32053799999999999</v>
      </c>
      <c r="O211" s="1">
        <v>0.31951600000000002</v>
      </c>
      <c r="P211" s="1">
        <v>0.31596800000000003</v>
      </c>
      <c r="Q211" s="1">
        <v>0.31790299999999999</v>
      </c>
      <c r="R211" s="1">
        <v>0.31798799999999999</v>
      </c>
      <c r="S211" s="1"/>
      <c r="T211" s="1">
        <v>0.522366</v>
      </c>
      <c r="U211" s="1">
        <v>0.52182799999999996</v>
      </c>
      <c r="V211" s="1">
        <v>0.52069900000000002</v>
      </c>
      <c r="W211" s="1">
        <v>0.52048399999999995</v>
      </c>
      <c r="X211" s="1">
        <v>0.51419400000000004</v>
      </c>
      <c r="Y211" s="1">
        <v>0.52478499999999995</v>
      </c>
      <c r="Z211" s="1">
        <v>0.52123699999999995</v>
      </c>
      <c r="AA211" s="1">
        <v>0.52079900000000001</v>
      </c>
    </row>
    <row r="212" spans="1:27" x14ac:dyDescent="0.3">
      <c r="A212" t="s">
        <v>7</v>
      </c>
      <c r="B212" s="1">
        <v>0.41005399999999997</v>
      </c>
      <c r="C212" s="1">
        <v>0.40994599999999998</v>
      </c>
      <c r="D212" s="1">
        <v>0.40682800000000002</v>
      </c>
      <c r="E212" s="1">
        <v>0.415215</v>
      </c>
      <c r="F212" s="1">
        <v>0.405914</v>
      </c>
      <c r="G212" s="1">
        <v>0.408495</v>
      </c>
      <c r="H212" s="1">
        <v>0.409194</v>
      </c>
      <c r="I212" s="1">
        <v>0.40937800000000002</v>
      </c>
      <c r="J212">
        <f t="shared" si="13"/>
        <v>3.2751296564665412E-3</v>
      </c>
      <c r="K212" s="1">
        <v>0.36618299999999998</v>
      </c>
      <c r="L212" s="1">
        <v>0.37989200000000001</v>
      </c>
      <c r="M212" s="1">
        <v>0.38091399999999997</v>
      </c>
      <c r="N212" s="1">
        <v>0.37413999999999997</v>
      </c>
      <c r="O212" s="1">
        <v>0.38037599999999999</v>
      </c>
      <c r="P212" s="1">
        <v>0.37263400000000002</v>
      </c>
      <c r="Q212" s="1">
        <v>0.368871</v>
      </c>
      <c r="R212" s="1">
        <v>0.37471599999999999</v>
      </c>
      <c r="S212" s="1"/>
      <c r="T212" s="1">
        <v>0.52430100000000002</v>
      </c>
      <c r="U212" s="1">
        <v>0.52462399999999998</v>
      </c>
      <c r="V212" s="1">
        <v>0.52274200000000004</v>
      </c>
      <c r="W212" s="1">
        <v>0.522366</v>
      </c>
      <c r="X212" s="1">
        <v>0.51671999999999996</v>
      </c>
      <c r="Y212" s="1">
        <v>0.52564500000000003</v>
      </c>
      <c r="Z212" s="1">
        <v>0.52317199999999997</v>
      </c>
      <c r="AA212" s="1">
        <v>0.52279600000000004</v>
      </c>
    </row>
    <row r="213" spans="1:27" x14ac:dyDescent="0.3">
      <c r="A213" t="s">
        <v>8</v>
      </c>
      <c r="B213" s="1">
        <v>0.30419400000000002</v>
      </c>
      <c r="C213" s="1">
        <v>0.38532300000000003</v>
      </c>
      <c r="D213" s="1">
        <v>0.33752700000000002</v>
      </c>
      <c r="E213" s="1">
        <v>0.43328</v>
      </c>
      <c r="F213" s="1">
        <v>0.319355</v>
      </c>
      <c r="G213" s="1">
        <v>0.35161300000000001</v>
      </c>
      <c r="H213" s="1">
        <v>0.33005400000000001</v>
      </c>
      <c r="I213" s="1">
        <v>0.35162100000000002</v>
      </c>
      <c r="J213">
        <f t="shared" si="13"/>
        <v>4.2741121457756423E-2</v>
      </c>
      <c r="K213" s="1">
        <v>0.34075299999999997</v>
      </c>
      <c r="L213" s="1">
        <v>0.316828</v>
      </c>
      <c r="M213" s="1">
        <v>0.34924699999999997</v>
      </c>
      <c r="N213" s="1">
        <v>0.34553800000000001</v>
      </c>
      <c r="O213" s="1">
        <v>0.34032299999999999</v>
      </c>
      <c r="P213" s="1">
        <v>0.35682799999999998</v>
      </c>
      <c r="Q213" s="1">
        <v>0.31301099999999998</v>
      </c>
      <c r="R213" s="1">
        <v>0.33750400000000003</v>
      </c>
      <c r="S213" s="1"/>
      <c r="T213" s="1">
        <v>0.46795700000000001</v>
      </c>
      <c r="U213" s="1">
        <v>0.417043</v>
      </c>
      <c r="V213" s="1">
        <v>0.43913999999999997</v>
      </c>
      <c r="W213" s="1">
        <v>0.46618300000000001</v>
      </c>
      <c r="X213" s="1">
        <v>0.45784900000000001</v>
      </c>
      <c r="Y213" s="1">
        <v>0.45075300000000001</v>
      </c>
      <c r="Z213" s="1">
        <v>0.44602199999999997</v>
      </c>
      <c r="AA213" s="1">
        <v>0.44927800000000001</v>
      </c>
    </row>
    <row r="215" spans="1:27" x14ac:dyDescent="0.3">
      <c r="A215" t="s">
        <v>59</v>
      </c>
    </row>
    <row r="216" spans="1:27" x14ac:dyDescent="0.3">
      <c r="A216" t="s">
        <v>169</v>
      </c>
      <c r="B216" t="s">
        <v>1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44</v>
      </c>
      <c r="K216" t="s">
        <v>45</v>
      </c>
      <c r="L216" t="s">
        <v>46</v>
      </c>
      <c r="M216" t="s">
        <v>47</v>
      </c>
      <c r="N216" t="s">
        <v>48</v>
      </c>
      <c r="O216" t="s">
        <v>49</v>
      </c>
    </row>
    <row r="217" spans="1:27" x14ac:dyDescent="0.3">
      <c r="A217" t="s">
        <v>6</v>
      </c>
      <c r="B217" s="1">
        <v>0.5</v>
      </c>
      <c r="C217" s="1">
        <v>0.46044499999999999</v>
      </c>
      <c r="D217" s="1">
        <v>0.39708100000000002</v>
      </c>
      <c r="E217" s="1">
        <v>0.30397800000000003</v>
      </c>
      <c r="F217" s="1">
        <v>0.32237300000000002</v>
      </c>
      <c r="G217" s="1">
        <v>0.65264200000000006</v>
      </c>
      <c r="H217" s="1">
        <v>0.63379399999999997</v>
      </c>
      <c r="I217" s="1">
        <v>0.70074499999999995</v>
      </c>
      <c r="K217" s="1">
        <v>0.31798799999999999</v>
      </c>
      <c r="L217" s="1">
        <v>0.63673599999999997</v>
      </c>
      <c r="M217" s="1">
        <v>0.62162099999999998</v>
      </c>
      <c r="N217" s="1">
        <v>0.60139799999999999</v>
      </c>
      <c r="O217" s="1">
        <v>0.52079900000000001</v>
      </c>
    </row>
    <row r="218" spans="1:27" x14ac:dyDescent="0.3">
      <c r="A218" t="s">
        <v>7</v>
      </c>
      <c r="B218" s="1">
        <v>0.45130799999999999</v>
      </c>
      <c r="C218" s="1">
        <v>0.51063000000000003</v>
      </c>
      <c r="D218" s="1">
        <v>0.389094</v>
      </c>
      <c r="E218" s="1">
        <v>0.37240400000000001</v>
      </c>
      <c r="F218" s="1">
        <v>0.40937800000000002</v>
      </c>
      <c r="G218" s="1">
        <v>0.57201199999999996</v>
      </c>
      <c r="H218" s="1">
        <v>0.65907800000000005</v>
      </c>
      <c r="I218" s="1">
        <v>0.67113699999999998</v>
      </c>
      <c r="K218" s="1">
        <v>0.37471599999999999</v>
      </c>
      <c r="L218" s="1">
        <v>0.63777300000000003</v>
      </c>
      <c r="M218" s="1">
        <v>0.62311099999999997</v>
      </c>
      <c r="N218" s="1">
        <v>0.60374799999999995</v>
      </c>
      <c r="O218" s="1">
        <v>0.52279600000000004</v>
      </c>
    </row>
    <row r="219" spans="1:27" x14ac:dyDescent="0.3">
      <c r="A219" t="s">
        <v>8</v>
      </c>
      <c r="B219" s="1">
        <v>0.40094999999999997</v>
      </c>
      <c r="C219" s="1">
        <v>0.52089099999999999</v>
      </c>
      <c r="D219" s="1">
        <v>0.39083699999999999</v>
      </c>
      <c r="E219" s="1">
        <v>0.337204</v>
      </c>
      <c r="F219" s="1">
        <v>0.35162100000000002</v>
      </c>
      <c r="G219" s="1">
        <v>0.58592900000000003</v>
      </c>
      <c r="H219" s="1">
        <v>0.59708099999999997</v>
      </c>
      <c r="I219" s="1">
        <v>0.48247299999999999</v>
      </c>
      <c r="K219" s="1">
        <v>0.33750400000000003</v>
      </c>
      <c r="L219" s="1">
        <v>0.46642899999999998</v>
      </c>
      <c r="M219" s="1">
        <v>0.56778799999999996</v>
      </c>
      <c r="N219" s="1">
        <v>0.35624400000000001</v>
      </c>
      <c r="O219" s="1">
        <v>0.44927800000000001</v>
      </c>
    </row>
    <row r="222" spans="1:27" x14ac:dyDescent="0.3">
      <c r="A222" s="2" t="s">
        <v>60</v>
      </c>
    </row>
    <row r="223" spans="1:27" x14ac:dyDescent="0.3">
      <c r="C223" t="s">
        <v>1</v>
      </c>
    </row>
    <row r="224" spans="1:27" x14ac:dyDescent="0.3">
      <c r="B224" t="s">
        <v>2</v>
      </c>
      <c r="C224" t="s">
        <v>3</v>
      </c>
      <c r="D224" t="s">
        <v>4</v>
      </c>
      <c r="E224" t="s">
        <v>5</v>
      </c>
    </row>
    <row r="225" spans="1:27" x14ac:dyDescent="0.3">
      <c r="A225" t="s">
        <v>6</v>
      </c>
      <c r="B225" s="1">
        <v>0.5</v>
      </c>
      <c r="C225" s="1">
        <v>0.5</v>
      </c>
      <c r="D225" s="1">
        <v>0.5</v>
      </c>
      <c r="E225" s="1">
        <v>0.5</v>
      </c>
    </row>
    <row r="226" spans="1:27" x14ac:dyDescent="0.3">
      <c r="A226" t="s">
        <v>7</v>
      </c>
      <c r="B226" s="1">
        <v>0.57175900000000002</v>
      </c>
      <c r="C226" s="1">
        <v>0.53857999999999995</v>
      </c>
      <c r="D226" s="1">
        <v>0.55632700000000002</v>
      </c>
      <c r="E226" s="1">
        <v>0.55555600000000005</v>
      </c>
    </row>
    <row r="227" spans="1:27" x14ac:dyDescent="0.3">
      <c r="A227" t="s">
        <v>8</v>
      </c>
      <c r="B227" s="1">
        <v>0.71604900000000005</v>
      </c>
      <c r="C227" s="1">
        <v>0.8125</v>
      </c>
      <c r="D227" s="1">
        <v>0.77932100000000004</v>
      </c>
      <c r="E227" s="1">
        <v>0.76929000000000003</v>
      </c>
    </row>
    <row r="229" spans="1:27" x14ac:dyDescent="0.3">
      <c r="A229" t="s">
        <v>9</v>
      </c>
    </row>
    <row r="230" spans="1:27" x14ac:dyDescent="0.3">
      <c r="B230" t="s">
        <v>10</v>
      </c>
      <c r="C230" t="s">
        <v>11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17</v>
      </c>
      <c r="K230" t="s">
        <v>18</v>
      </c>
      <c r="L230" t="s">
        <v>19</v>
      </c>
      <c r="M230" t="s">
        <v>20</v>
      </c>
      <c r="N230" t="s">
        <v>21</v>
      </c>
      <c r="O230" t="s">
        <v>22</v>
      </c>
      <c r="P230" t="s">
        <v>23</v>
      </c>
      <c r="Q230" t="s">
        <v>24</v>
      </c>
      <c r="R230" t="s">
        <v>25</v>
      </c>
      <c r="T230" t="s">
        <v>26</v>
      </c>
      <c r="U230" t="s">
        <v>27</v>
      </c>
      <c r="V230" t="s">
        <v>28</v>
      </c>
      <c r="W230" t="s">
        <v>29</v>
      </c>
      <c r="X230" t="s">
        <v>30</v>
      </c>
      <c r="Y230" t="s">
        <v>31</v>
      </c>
      <c r="Z230" t="s">
        <v>32</v>
      </c>
      <c r="AA230" t="s">
        <v>33</v>
      </c>
    </row>
    <row r="231" spans="1:27" x14ac:dyDescent="0.3">
      <c r="A231" t="s">
        <v>6</v>
      </c>
      <c r="B231" s="1">
        <v>0.67515400000000003</v>
      </c>
      <c r="C231" s="1">
        <v>0.77314799999999995</v>
      </c>
      <c r="D231" s="1">
        <v>0.74768500000000004</v>
      </c>
      <c r="E231" s="1">
        <v>0.69675900000000002</v>
      </c>
      <c r="F231" s="1">
        <v>0.72916700000000001</v>
      </c>
      <c r="G231" s="1">
        <v>0.672068</v>
      </c>
      <c r="H231" s="1">
        <v>0.69058600000000003</v>
      </c>
      <c r="I231" s="1">
        <v>0.71208099999999996</v>
      </c>
      <c r="J231">
        <f t="shared" si="13"/>
        <v>3.8364896344184211E-2</v>
      </c>
      <c r="K231" s="1">
        <v>0.61728400000000005</v>
      </c>
      <c r="L231" s="1">
        <v>0.68209900000000001</v>
      </c>
      <c r="M231" s="1">
        <v>0.64969100000000002</v>
      </c>
      <c r="N231" s="1">
        <v>0.61651199999999995</v>
      </c>
      <c r="O231" s="1">
        <v>0.60570999999999997</v>
      </c>
      <c r="P231" s="1">
        <v>0.57407399999999997</v>
      </c>
      <c r="Q231" s="1">
        <v>0.60107999999999995</v>
      </c>
      <c r="R231" s="1">
        <v>0.62092199999999997</v>
      </c>
      <c r="S231" s="1"/>
      <c r="T231" s="1">
        <v>0.69598800000000005</v>
      </c>
      <c r="U231" s="1">
        <v>0.71373500000000001</v>
      </c>
      <c r="V231" s="1">
        <v>0.71527799999999997</v>
      </c>
      <c r="W231" s="1">
        <v>0.70061700000000005</v>
      </c>
      <c r="X231" s="1">
        <v>0.68672800000000001</v>
      </c>
      <c r="Y231" s="1">
        <v>0.702932</v>
      </c>
      <c r="Z231" s="1">
        <v>0.66666700000000001</v>
      </c>
      <c r="AA231" s="1">
        <v>0.69742099999999996</v>
      </c>
    </row>
    <row r="232" spans="1:27" x14ac:dyDescent="0.3">
      <c r="A232" t="s">
        <v>7</v>
      </c>
      <c r="B232" s="1">
        <v>0.67824099999999998</v>
      </c>
      <c r="C232" s="1">
        <v>0.74074099999999998</v>
      </c>
      <c r="D232" s="1">
        <v>0.75</v>
      </c>
      <c r="E232" s="1">
        <v>0.67824099999999998</v>
      </c>
      <c r="F232" s="1">
        <v>0.72607999999999995</v>
      </c>
      <c r="G232" s="1">
        <v>0.67438299999999995</v>
      </c>
      <c r="H232" s="1">
        <v>0.68595700000000004</v>
      </c>
      <c r="I232" s="1">
        <v>0.70480600000000004</v>
      </c>
      <c r="J232">
        <f t="shared" si="13"/>
        <v>3.3631302381362908E-2</v>
      </c>
      <c r="K232" s="1">
        <v>0.703704</v>
      </c>
      <c r="L232" s="1">
        <v>0.73611099999999996</v>
      </c>
      <c r="M232" s="1">
        <v>0.69830199999999998</v>
      </c>
      <c r="N232" s="1">
        <v>0.63117299999999998</v>
      </c>
      <c r="O232" s="1">
        <v>0.66666700000000001</v>
      </c>
      <c r="P232" s="1">
        <v>0.63348800000000005</v>
      </c>
      <c r="Q232" s="1">
        <v>0.62808600000000003</v>
      </c>
      <c r="R232" s="1">
        <v>0.67107600000000001</v>
      </c>
      <c r="S232" s="1"/>
      <c r="T232" s="1">
        <v>0.69367299999999998</v>
      </c>
      <c r="U232" s="1">
        <v>0.71450599999999997</v>
      </c>
      <c r="V232" s="1">
        <v>0.71373500000000001</v>
      </c>
      <c r="W232" s="1">
        <v>0.69213000000000002</v>
      </c>
      <c r="X232" s="1">
        <v>0.68595700000000004</v>
      </c>
      <c r="Y232" s="1">
        <v>0.71064799999999995</v>
      </c>
      <c r="Z232" s="1">
        <v>0.66975300000000004</v>
      </c>
      <c r="AA232" s="1">
        <v>0.69720000000000004</v>
      </c>
    </row>
    <row r="233" spans="1:27" x14ac:dyDescent="0.3">
      <c r="A233" t="s">
        <v>8</v>
      </c>
      <c r="B233" s="1">
        <v>0.69907399999999997</v>
      </c>
      <c r="C233" s="1">
        <v>0.71527799999999997</v>
      </c>
      <c r="D233" s="1">
        <v>0.70679000000000003</v>
      </c>
      <c r="E233" s="1">
        <v>0.64274699999999996</v>
      </c>
      <c r="F233" s="1">
        <v>0.72067899999999996</v>
      </c>
      <c r="G233" s="1">
        <v>0.64969100000000002</v>
      </c>
      <c r="H233" s="1">
        <v>0.63348800000000005</v>
      </c>
      <c r="I233" s="1">
        <v>0.68110700000000002</v>
      </c>
      <c r="J233">
        <f t="shared" si="13"/>
        <v>4.0163233362948574E-2</v>
      </c>
      <c r="K233" s="1">
        <v>0.63271599999999995</v>
      </c>
      <c r="L233" s="1">
        <v>0.671296</v>
      </c>
      <c r="M233" s="1">
        <v>0.63425900000000002</v>
      </c>
      <c r="N233" s="1">
        <v>0.59953699999999999</v>
      </c>
      <c r="O233" s="1">
        <v>0.61265400000000003</v>
      </c>
      <c r="P233" s="1">
        <v>0.57947499999999996</v>
      </c>
      <c r="Q233" s="1">
        <v>0.58642000000000005</v>
      </c>
      <c r="R233" s="1">
        <v>0.61662300000000003</v>
      </c>
      <c r="S233" s="1"/>
      <c r="T233" s="1">
        <v>0.63194399999999995</v>
      </c>
      <c r="U233" s="1">
        <v>0.55941399999999997</v>
      </c>
      <c r="V233" s="1">
        <v>0.67824099999999998</v>
      </c>
      <c r="W233" s="1">
        <v>0.62422800000000001</v>
      </c>
      <c r="X233" s="1">
        <v>0.60262300000000002</v>
      </c>
      <c r="Y233" s="1">
        <v>0.62345700000000004</v>
      </c>
      <c r="Z233" s="1">
        <v>0.53703699999999999</v>
      </c>
      <c r="AA233" s="1">
        <v>0.60813499999999998</v>
      </c>
    </row>
    <row r="235" spans="1:27" x14ac:dyDescent="0.3">
      <c r="A235" t="s">
        <v>34</v>
      </c>
    </row>
    <row r="236" spans="1:27" x14ac:dyDescent="0.3">
      <c r="A236" t="s">
        <v>6</v>
      </c>
      <c r="B236" s="1">
        <v>0.70987699999999998</v>
      </c>
      <c r="C236" s="1">
        <v>0.81018500000000004</v>
      </c>
      <c r="D236" s="1">
        <v>0.780864</v>
      </c>
      <c r="E236" s="1">
        <v>0.72453699999999999</v>
      </c>
      <c r="F236" s="1">
        <v>0.77006200000000002</v>
      </c>
      <c r="G236" s="1">
        <v>0.69444399999999995</v>
      </c>
      <c r="H236" s="1">
        <v>0.71064799999999995</v>
      </c>
      <c r="I236" s="1">
        <v>0.74294499999999997</v>
      </c>
      <c r="J236">
        <f t="shared" si="13"/>
        <v>4.5269032919498846E-2</v>
      </c>
      <c r="K236" s="1">
        <v>0.52623500000000001</v>
      </c>
      <c r="L236" s="1">
        <v>0.593364</v>
      </c>
      <c r="M236" s="1">
        <v>0.56172800000000001</v>
      </c>
      <c r="N236" s="1">
        <v>0.52932100000000004</v>
      </c>
      <c r="O236" s="1">
        <v>0.515432</v>
      </c>
      <c r="P236" s="1">
        <v>0.50925900000000002</v>
      </c>
      <c r="Q236" s="1">
        <v>0.54012300000000002</v>
      </c>
      <c r="R236" s="1">
        <v>0.53935200000000005</v>
      </c>
      <c r="S236" s="1"/>
      <c r="T236" s="1">
        <v>0.73070999999999997</v>
      </c>
      <c r="U236" s="1">
        <v>0.73070999999999997</v>
      </c>
      <c r="V236" s="1">
        <v>0.71682100000000004</v>
      </c>
      <c r="W236" s="1">
        <v>0.73302500000000004</v>
      </c>
      <c r="X236" s="1">
        <v>0.702932</v>
      </c>
      <c r="Y236" s="1">
        <v>0.72916700000000001</v>
      </c>
      <c r="Z236" s="1">
        <v>0.70679000000000003</v>
      </c>
      <c r="AA236" s="1">
        <v>0.72145099999999995</v>
      </c>
    </row>
    <row r="237" spans="1:27" x14ac:dyDescent="0.3">
      <c r="A237" t="s">
        <v>7</v>
      </c>
      <c r="B237" s="1">
        <v>0.73225300000000004</v>
      </c>
      <c r="C237" s="1">
        <v>0.81713000000000002</v>
      </c>
      <c r="D237" s="1">
        <v>0.79166700000000001</v>
      </c>
      <c r="E237" s="1">
        <v>0.73533999999999999</v>
      </c>
      <c r="F237" s="1">
        <v>0.79166700000000001</v>
      </c>
      <c r="G237" s="1">
        <v>0.72453699999999999</v>
      </c>
      <c r="H237" s="1">
        <v>0.74151199999999995</v>
      </c>
      <c r="I237" s="1">
        <v>0.762015</v>
      </c>
      <c r="J237">
        <f t="shared" si="13"/>
        <v>3.7907875671158379E-2</v>
      </c>
      <c r="K237" s="1">
        <v>0.70524699999999996</v>
      </c>
      <c r="L237" s="1">
        <v>0.76929000000000003</v>
      </c>
      <c r="M237" s="1">
        <v>0.73148100000000005</v>
      </c>
      <c r="N237" s="1">
        <v>0.61882700000000002</v>
      </c>
      <c r="O237" s="1">
        <v>0.75925900000000002</v>
      </c>
      <c r="P237" s="1">
        <v>0.68364199999999997</v>
      </c>
      <c r="Q237" s="1">
        <v>0.61882700000000002</v>
      </c>
      <c r="R237" s="1">
        <v>0.69808199999999998</v>
      </c>
      <c r="S237" s="1"/>
      <c r="T237" s="1">
        <v>0.71759300000000004</v>
      </c>
      <c r="U237" s="1">
        <v>0.72453699999999999</v>
      </c>
      <c r="V237" s="1">
        <v>0.71064799999999995</v>
      </c>
      <c r="W237" s="1">
        <v>0.72762300000000002</v>
      </c>
      <c r="X237" s="1">
        <v>0.69675900000000002</v>
      </c>
      <c r="Y237" s="1">
        <v>0.719136</v>
      </c>
      <c r="Z237" s="1">
        <v>0.70061700000000005</v>
      </c>
      <c r="AA237" s="1">
        <v>0.71384499999999995</v>
      </c>
    </row>
    <row r="238" spans="1:27" x14ac:dyDescent="0.3">
      <c r="A238" t="s">
        <v>8</v>
      </c>
      <c r="B238" s="1">
        <v>0.71759300000000004</v>
      </c>
      <c r="C238" s="1">
        <v>0.79320999999999997</v>
      </c>
      <c r="D238" s="1">
        <v>0.72993799999999998</v>
      </c>
      <c r="E238" s="1">
        <v>0.69907399999999997</v>
      </c>
      <c r="F238" s="1">
        <v>0.73919800000000002</v>
      </c>
      <c r="G238" s="1">
        <v>0.70447499999999996</v>
      </c>
      <c r="H238" s="1">
        <v>0.67978400000000005</v>
      </c>
      <c r="I238" s="1">
        <v>0.723325</v>
      </c>
      <c r="J238">
        <f t="shared" si="13"/>
        <v>4.0033433689438451E-2</v>
      </c>
      <c r="K238" s="1">
        <v>0.61033999999999999</v>
      </c>
      <c r="L238" s="1">
        <v>0.67515400000000003</v>
      </c>
      <c r="M238" s="1">
        <v>0.64429000000000003</v>
      </c>
      <c r="N238" s="1">
        <v>0.60339500000000001</v>
      </c>
      <c r="O238" s="1">
        <v>0.62422800000000001</v>
      </c>
      <c r="P238" s="1">
        <v>0.61651199999999995</v>
      </c>
      <c r="Q238" s="1">
        <v>0.61188299999999995</v>
      </c>
      <c r="R238" s="1">
        <v>0.62654299999999996</v>
      </c>
      <c r="S238" s="1"/>
      <c r="T238" s="1">
        <v>0.65740699999999996</v>
      </c>
      <c r="U238" s="1">
        <v>0.58410499999999999</v>
      </c>
      <c r="V238" s="1">
        <v>0.609568</v>
      </c>
      <c r="W238" s="1">
        <v>0.51929000000000003</v>
      </c>
      <c r="X238" s="1">
        <v>0.64660499999999999</v>
      </c>
      <c r="Y238" s="1">
        <v>0.65740699999999996</v>
      </c>
      <c r="Z238" s="1">
        <v>0.57484599999999997</v>
      </c>
      <c r="AA238" s="1">
        <v>0.60703300000000004</v>
      </c>
    </row>
    <row r="240" spans="1:27" x14ac:dyDescent="0.3">
      <c r="A240" t="s">
        <v>35</v>
      </c>
    </row>
    <row r="241" spans="1:27" x14ac:dyDescent="0.3">
      <c r="A241" t="s">
        <v>6</v>
      </c>
      <c r="B241" s="1">
        <v>0.85648100000000005</v>
      </c>
      <c r="C241" s="1">
        <v>0.90354900000000005</v>
      </c>
      <c r="D241" s="1">
        <v>0.90200599999999997</v>
      </c>
      <c r="E241" s="1">
        <v>0.82407399999999997</v>
      </c>
      <c r="F241" s="1">
        <v>0.91666700000000001</v>
      </c>
      <c r="G241" s="1">
        <v>0.91203699999999999</v>
      </c>
      <c r="H241" s="1">
        <v>0.87731499999999996</v>
      </c>
      <c r="I241" s="1">
        <v>0.88458999999999999</v>
      </c>
      <c r="J241">
        <f t="shared" si="13"/>
        <v>3.4723098206621304E-2</v>
      </c>
      <c r="K241" s="1">
        <v>0.50848800000000005</v>
      </c>
      <c r="L241" s="1">
        <v>0.56172800000000001</v>
      </c>
      <c r="M241" s="1">
        <v>0.51774699999999996</v>
      </c>
      <c r="N241" s="1">
        <v>0.52006200000000002</v>
      </c>
      <c r="O241" s="1">
        <v>0.48688300000000001</v>
      </c>
      <c r="P241" s="1">
        <v>0.46604899999999999</v>
      </c>
      <c r="Q241" s="1">
        <v>0.53395099999999995</v>
      </c>
      <c r="R241" s="1">
        <v>0.51355799999999996</v>
      </c>
      <c r="S241" s="1"/>
      <c r="T241" s="1">
        <v>0.71759300000000004</v>
      </c>
      <c r="U241" s="1">
        <v>0.718364</v>
      </c>
      <c r="V241" s="1">
        <v>0.70833299999999999</v>
      </c>
      <c r="W241" s="1">
        <v>0.72222200000000003</v>
      </c>
      <c r="X241" s="1">
        <v>0.69521599999999995</v>
      </c>
      <c r="Y241" s="1">
        <v>0.70524699999999996</v>
      </c>
      <c r="Z241" s="1">
        <v>0.67978400000000005</v>
      </c>
      <c r="AA241" s="1">
        <v>0.70667999999999997</v>
      </c>
    </row>
    <row r="242" spans="1:27" x14ac:dyDescent="0.3">
      <c r="A242" t="s">
        <v>7</v>
      </c>
      <c r="B242" s="1">
        <v>0.86188299999999995</v>
      </c>
      <c r="C242" s="1">
        <v>0.906636</v>
      </c>
      <c r="D242" s="1">
        <v>0.906636</v>
      </c>
      <c r="E242" s="1">
        <v>0.82561700000000005</v>
      </c>
      <c r="F242" s="1">
        <v>0.92515400000000003</v>
      </c>
      <c r="G242" s="1">
        <v>0.91898100000000005</v>
      </c>
      <c r="H242" s="1">
        <v>0.89737699999999998</v>
      </c>
      <c r="I242" s="1">
        <v>0.89175499999999996</v>
      </c>
      <c r="J242">
        <f t="shared" si="13"/>
        <v>3.6212610382296381E-2</v>
      </c>
      <c r="K242" s="1">
        <v>0.672068</v>
      </c>
      <c r="L242" s="1">
        <v>0.72916700000000001</v>
      </c>
      <c r="M242" s="1">
        <v>0.69213000000000002</v>
      </c>
      <c r="N242" s="1">
        <v>0.65123500000000001</v>
      </c>
      <c r="O242" s="1">
        <v>0.69521599999999995</v>
      </c>
      <c r="P242" s="1">
        <v>0.65354900000000005</v>
      </c>
      <c r="Q242" s="1">
        <v>0.65817899999999996</v>
      </c>
      <c r="R242" s="1">
        <v>0.67879199999999995</v>
      </c>
      <c r="S242" s="1"/>
      <c r="T242" s="1">
        <v>0.71527799999999997</v>
      </c>
      <c r="U242" s="1">
        <v>0.72607999999999995</v>
      </c>
      <c r="V242" s="1">
        <v>0.72222200000000003</v>
      </c>
      <c r="W242" s="1">
        <v>0.72453699999999999</v>
      </c>
      <c r="X242" s="1">
        <v>0.69521599999999995</v>
      </c>
      <c r="Y242" s="1">
        <v>0.70601899999999995</v>
      </c>
      <c r="Z242" s="1">
        <v>0.68672800000000001</v>
      </c>
      <c r="AA242" s="1">
        <v>0.71086899999999997</v>
      </c>
    </row>
    <row r="243" spans="1:27" x14ac:dyDescent="0.3">
      <c r="A243" t="s">
        <v>8</v>
      </c>
      <c r="B243" s="1">
        <v>0.80324099999999998</v>
      </c>
      <c r="C243" s="1">
        <v>0.86265400000000003</v>
      </c>
      <c r="D243" s="1">
        <v>0.83950599999999997</v>
      </c>
      <c r="E243" s="1">
        <v>0.77083299999999999</v>
      </c>
      <c r="F243" s="1">
        <v>0.858796</v>
      </c>
      <c r="G243" s="1">
        <v>0.85030899999999998</v>
      </c>
      <c r="H243" s="1">
        <v>0.844136</v>
      </c>
      <c r="I243" s="1">
        <v>0.83278200000000002</v>
      </c>
      <c r="J243">
        <f t="shared" si="13"/>
        <v>3.3889849339686758E-2</v>
      </c>
      <c r="K243" s="1">
        <v>0.733796</v>
      </c>
      <c r="L243" s="1">
        <v>0.828704</v>
      </c>
      <c r="M243" s="1">
        <v>0.80246899999999999</v>
      </c>
      <c r="N243" s="1">
        <v>0.69135800000000003</v>
      </c>
      <c r="O243" s="1">
        <v>0.83564799999999995</v>
      </c>
      <c r="P243" s="1">
        <v>0.74228400000000005</v>
      </c>
      <c r="Q243" s="1">
        <v>0.74536999999999998</v>
      </c>
      <c r="R243" s="1">
        <v>0.76851899999999995</v>
      </c>
      <c r="S243" s="1"/>
      <c r="T243" s="1">
        <v>0.61959900000000001</v>
      </c>
      <c r="U243" s="1">
        <v>0.67515400000000003</v>
      </c>
      <c r="V243" s="1">
        <v>0.67978400000000005</v>
      </c>
      <c r="W243" s="1">
        <v>0.60339500000000001</v>
      </c>
      <c r="X243" s="1">
        <v>0.72607999999999995</v>
      </c>
      <c r="Y243" s="1">
        <v>0.72145099999999995</v>
      </c>
      <c r="Z243" s="1">
        <v>0.55401199999999995</v>
      </c>
      <c r="AA243" s="1">
        <v>0.65421099999999999</v>
      </c>
    </row>
    <row r="245" spans="1:27" x14ac:dyDescent="0.3">
      <c r="A245" t="s">
        <v>36</v>
      </c>
    </row>
    <row r="246" spans="1:27" x14ac:dyDescent="0.3">
      <c r="A246" t="s">
        <v>6</v>
      </c>
      <c r="B246" s="1">
        <v>0.85493799999999998</v>
      </c>
      <c r="C246" s="1">
        <v>0.90200599999999997</v>
      </c>
      <c r="D246" s="1">
        <v>0.89814799999999995</v>
      </c>
      <c r="E246" s="1">
        <v>0.81404299999999996</v>
      </c>
      <c r="F246" s="1">
        <v>0.921296</v>
      </c>
      <c r="G246" s="1">
        <v>0.90817899999999996</v>
      </c>
      <c r="H246" s="1">
        <v>0.88348800000000005</v>
      </c>
      <c r="I246" s="1">
        <v>0.88315699999999997</v>
      </c>
      <c r="J246">
        <f t="shared" si="13"/>
        <v>3.8222621547978633E-2</v>
      </c>
      <c r="K246" s="1">
        <v>0.86574099999999998</v>
      </c>
      <c r="L246" s="1">
        <v>0.91280899999999998</v>
      </c>
      <c r="M246" s="1">
        <v>0.90509300000000004</v>
      </c>
      <c r="N246" s="1">
        <v>0.82021599999999995</v>
      </c>
      <c r="O246" s="1">
        <v>0.93595700000000004</v>
      </c>
      <c r="P246" s="1">
        <v>0.92438299999999995</v>
      </c>
      <c r="Q246" s="1">
        <v>0.90200599999999997</v>
      </c>
      <c r="R246" s="1">
        <v>0.89517199999999997</v>
      </c>
      <c r="S246" s="1"/>
      <c r="T246" s="1">
        <v>0.70601899999999995</v>
      </c>
      <c r="U246" s="1">
        <v>0.67438299999999995</v>
      </c>
      <c r="V246" s="1">
        <v>0.67361099999999996</v>
      </c>
      <c r="W246" s="1">
        <v>0.75540099999999999</v>
      </c>
      <c r="X246" s="1">
        <v>0.65123500000000001</v>
      </c>
      <c r="Y246" s="1">
        <v>0.68364199999999997</v>
      </c>
      <c r="Z246" s="1">
        <v>0.672068</v>
      </c>
      <c r="AA246" s="1">
        <v>0.68805099999999997</v>
      </c>
    </row>
    <row r="247" spans="1:27" x14ac:dyDescent="0.3">
      <c r="A247" t="s">
        <v>7</v>
      </c>
      <c r="B247" s="1">
        <v>0.84722200000000003</v>
      </c>
      <c r="C247" s="1">
        <v>0.905864</v>
      </c>
      <c r="D247" s="1">
        <v>0.90432100000000004</v>
      </c>
      <c r="E247" s="1">
        <v>0.8125</v>
      </c>
      <c r="F247" s="1">
        <v>0.92438299999999995</v>
      </c>
      <c r="G247" s="1">
        <v>0.906636</v>
      </c>
      <c r="H247" s="1">
        <v>0.88811700000000005</v>
      </c>
      <c r="I247" s="1">
        <v>0.88414899999999996</v>
      </c>
      <c r="J247">
        <f t="shared" si="13"/>
        <v>3.9811927201530949E-2</v>
      </c>
      <c r="K247" s="1">
        <v>0.87268500000000004</v>
      </c>
      <c r="L247" s="1">
        <v>0.92669800000000002</v>
      </c>
      <c r="M247" s="1">
        <v>0.91357999999999995</v>
      </c>
      <c r="N247" s="1">
        <v>0.83333299999999999</v>
      </c>
      <c r="O247" s="1">
        <v>0.93904299999999996</v>
      </c>
      <c r="P247" s="1">
        <v>0.93286999999999998</v>
      </c>
      <c r="Q247" s="1">
        <v>0.90895099999999995</v>
      </c>
      <c r="R247" s="1">
        <v>0.90388000000000002</v>
      </c>
      <c r="S247" s="1"/>
      <c r="T247" s="1">
        <v>0.70679000000000003</v>
      </c>
      <c r="U247" s="1">
        <v>0.67746899999999999</v>
      </c>
      <c r="V247" s="1">
        <v>0.67746899999999999</v>
      </c>
      <c r="W247" s="1">
        <v>0.75231499999999996</v>
      </c>
      <c r="X247" s="1">
        <v>0.656636</v>
      </c>
      <c r="Y247" s="1">
        <v>0.68595700000000004</v>
      </c>
      <c r="Z247" s="1">
        <v>0.67515400000000003</v>
      </c>
      <c r="AA247" s="1">
        <v>0.69025599999999998</v>
      </c>
    </row>
    <row r="248" spans="1:27" x14ac:dyDescent="0.3">
      <c r="A248" t="s">
        <v>8</v>
      </c>
      <c r="B248" s="1">
        <v>0.81790099999999999</v>
      </c>
      <c r="C248" s="1">
        <v>0.87808600000000003</v>
      </c>
      <c r="D248" s="1">
        <v>0.86188299999999995</v>
      </c>
      <c r="E248" s="1">
        <v>0.72222200000000003</v>
      </c>
      <c r="F248" s="1">
        <v>0.890432</v>
      </c>
      <c r="G248" s="1">
        <v>0.86882700000000002</v>
      </c>
      <c r="H248" s="1">
        <v>0.87654299999999996</v>
      </c>
      <c r="I248" s="1">
        <v>0.84512799999999999</v>
      </c>
      <c r="J248">
        <f t="shared" ref="J248:J311" si="14">_xlfn.STDEV.S(C248:H248)</f>
        <v>6.3166935068119295E-2</v>
      </c>
      <c r="K248" s="1">
        <v>0.87422800000000001</v>
      </c>
      <c r="L248" s="1">
        <v>0.90895099999999995</v>
      </c>
      <c r="M248" s="1">
        <v>0.92283999999999999</v>
      </c>
      <c r="N248" s="1">
        <v>0.85107999999999995</v>
      </c>
      <c r="O248" s="1">
        <v>0.89814799999999995</v>
      </c>
      <c r="P248" s="1">
        <v>0.90432100000000004</v>
      </c>
      <c r="Q248" s="1">
        <v>0.88503100000000001</v>
      </c>
      <c r="R248" s="1">
        <v>0.89208600000000005</v>
      </c>
      <c r="S248" s="1"/>
      <c r="T248" s="1">
        <v>0.718364</v>
      </c>
      <c r="U248" s="1">
        <v>0.66280899999999998</v>
      </c>
      <c r="V248" s="1">
        <v>0.79089500000000001</v>
      </c>
      <c r="W248" s="1">
        <v>0.68904299999999996</v>
      </c>
      <c r="X248" s="1">
        <v>0.75231499999999996</v>
      </c>
      <c r="Y248" s="1">
        <v>0.75694399999999995</v>
      </c>
      <c r="Z248" s="1">
        <v>0.69984599999999997</v>
      </c>
      <c r="AA248" s="1">
        <v>0.72431699999999999</v>
      </c>
    </row>
    <row r="250" spans="1:27" x14ac:dyDescent="0.3">
      <c r="A250" t="s">
        <v>61</v>
      </c>
    </row>
    <row r="251" spans="1:27" x14ac:dyDescent="0.3">
      <c r="A251" t="s">
        <v>169</v>
      </c>
      <c r="B251" t="s">
        <v>1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44</v>
      </c>
      <c r="K251" t="s">
        <v>45</v>
      </c>
      <c r="L251" t="s">
        <v>46</v>
      </c>
      <c r="M251" t="s">
        <v>47</v>
      </c>
      <c r="N251" t="s">
        <v>48</v>
      </c>
      <c r="O251" t="s">
        <v>49</v>
      </c>
    </row>
    <row r="252" spans="1:27" x14ac:dyDescent="0.3">
      <c r="A252" t="s">
        <v>6</v>
      </c>
      <c r="B252" s="1">
        <v>0.5</v>
      </c>
      <c r="C252" s="1">
        <v>0.71208099999999996</v>
      </c>
      <c r="D252" s="1">
        <v>0.74294499999999997</v>
      </c>
      <c r="E252" s="1">
        <v>0.88458999999999999</v>
      </c>
      <c r="F252" s="1">
        <v>0.88315699999999997</v>
      </c>
      <c r="G252" s="1">
        <v>0.62092199999999997</v>
      </c>
      <c r="H252" s="1">
        <v>0.53935200000000005</v>
      </c>
      <c r="I252" s="1">
        <v>0.51355799999999996</v>
      </c>
      <c r="K252" s="1">
        <v>0.89517199999999997</v>
      </c>
      <c r="L252" s="1">
        <v>0.69742099999999996</v>
      </c>
      <c r="M252" s="1">
        <v>0.72145099999999995</v>
      </c>
      <c r="N252" s="1">
        <v>0.70667999999999997</v>
      </c>
      <c r="O252" s="1">
        <v>0.68805099999999997</v>
      </c>
    </row>
    <row r="253" spans="1:27" x14ac:dyDescent="0.3">
      <c r="A253" t="s">
        <v>7</v>
      </c>
      <c r="B253" s="1">
        <v>0.55555600000000005</v>
      </c>
      <c r="C253" s="1">
        <v>0.70480600000000004</v>
      </c>
      <c r="D253" s="1">
        <v>0.762015</v>
      </c>
      <c r="E253" s="1">
        <v>0.89175499999999996</v>
      </c>
      <c r="F253" s="1">
        <v>0.88414899999999996</v>
      </c>
      <c r="G253" s="1">
        <v>0.67107600000000001</v>
      </c>
      <c r="H253" s="1">
        <v>0.69808199999999998</v>
      </c>
      <c r="I253" s="1">
        <v>0.67879199999999995</v>
      </c>
      <c r="K253" s="1">
        <v>0.90388000000000002</v>
      </c>
      <c r="L253" s="1">
        <v>0.69720000000000004</v>
      </c>
      <c r="M253" s="1">
        <v>0.71384499999999995</v>
      </c>
      <c r="N253" s="1">
        <v>0.71086899999999997</v>
      </c>
      <c r="O253" s="1">
        <v>0.69025599999999998</v>
      </c>
    </row>
    <row r="254" spans="1:27" x14ac:dyDescent="0.3">
      <c r="A254" t="s">
        <v>8</v>
      </c>
      <c r="B254" s="1">
        <v>0.76929000000000003</v>
      </c>
      <c r="C254" s="1">
        <v>0.68110700000000002</v>
      </c>
      <c r="D254" s="1">
        <v>0.723325</v>
      </c>
      <c r="E254" s="1">
        <v>0.83278200000000002</v>
      </c>
      <c r="F254" s="1">
        <v>0.84512799999999999</v>
      </c>
      <c r="G254" s="1">
        <v>0.61662300000000003</v>
      </c>
      <c r="H254" s="1">
        <v>0.62654299999999996</v>
      </c>
      <c r="I254" s="1">
        <v>0.76851899999999995</v>
      </c>
      <c r="K254" s="1">
        <v>0.89208600000000005</v>
      </c>
      <c r="L254" s="1">
        <v>0.60813499999999998</v>
      </c>
      <c r="M254" s="1">
        <v>0.60703300000000004</v>
      </c>
      <c r="N254" s="1">
        <v>0.65421099999999999</v>
      </c>
      <c r="O254" s="1">
        <v>0.72431699999999999</v>
      </c>
    </row>
    <row r="257" spans="1:27" x14ac:dyDescent="0.3">
      <c r="A257" s="2" t="s">
        <v>62</v>
      </c>
    </row>
    <row r="258" spans="1:27" x14ac:dyDescent="0.3">
      <c r="C258" t="s">
        <v>1</v>
      </c>
    </row>
    <row r="259" spans="1:27" x14ac:dyDescent="0.3">
      <c r="B259" t="s">
        <v>2</v>
      </c>
      <c r="C259" t="s">
        <v>3</v>
      </c>
      <c r="D259" t="s">
        <v>4</v>
      </c>
      <c r="E259" t="s">
        <v>5</v>
      </c>
    </row>
    <row r="260" spans="1:27" x14ac:dyDescent="0.3">
      <c r="A260" t="s">
        <v>6</v>
      </c>
      <c r="B260" s="1">
        <v>0.5</v>
      </c>
      <c r="C260" s="1">
        <v>0.5</v>
      </c>
      <c r="D260" s="1">
        <v>0.5</v>
      </c>
      <c r="E260" s="1">
        <v>0.5</v>
      </c>
    </row>
    <row r="261" spans="1:27" x14ac:dyDescent="0.3">
      <c r="A261" t="s">
        <v>7</v>
      </c>
      <c r="B261" s="1">
        <v>0.57742199999999999</v>
      </c>
      <c r="C261" s="1">
        <v>0.59018199999999998</v>
      </c>
      <c r="D261" s="1">
        <v>0.415657</v>
      </c>
      <c r="E261" s="1">
        <v>0.52775399999999995</v>
      </c>
    </row>
    <row r="262" spans="1:27" x14ac:dyDescent="0.3">
      <c r="A262" t="s">
        <v>8</v>
      </c>
      <c r="B262" s="1">
        <v>0.716696</v>
      </c>
      <c r="C262" s="1">
        <v>0.75410900000000003</v>
      </c>
      <c r="D262" s="1">
        <v>0.71193799999999996</v>
      </c>
      <c r="E262" s="1">
        <v>0.72758100000000003</v>
      </c>
      <c r="L262" s="1"/>
    </row>
    <row r="263" spans="1:27" x14ac:dyDescent="0.3">
      <c r="L263" s="1"/>
    </row>
    <row r="264" spans="1:27" x14ac:dyDescent="0.3">
      <c r="A264" t="s">
        <v>9</v>
      </c>
      <c r="L264" s="1"/>
    </row>
    <row r="265" spans="1:27" x14ac:dyDescent="0.3">
      <c r="B265" t="s">
        <v>10</v>
      </c>
      <c r="C265" t="s">
        <v>11</v>
      </c>
      <c r="D265" t="s">
        <v>12</v>
      </c>
      <c r="E265" t="s">
        <v>13</v>
      </c>
      <c r="F265" t="s">
        <v>14</v>
      </c>
      <c r="G265" t="s">
        <v>15</v>
      </c>
      <c r="H265" t="s">
        <v>16</v>
      </c>
      <c r="I265" t="s">
        <v>17</v>
      </c>
      <c r="K265" t="s">
        <v>18</v>
      </c>
      <c r="L265" t="s">
        <v>19</v>
      </c>
      <c r="M265" t="s">
        <v>20</v>
      </c>
      <c r="N265" t="s">
        <v>21</v>
      </c>
      <c r="O265" t="s">
        <v>22</v>
      </c>
      <c r="P265" t="s">
        <v>23</v>
      </c>
      <c r="Q265" t="s">
        <v>24</v>
      </c>
      <c r="R265" t="s">
        <v>25</v>
      </c>
      <c r="T265" t="s">
        <v>26</v>
      </c>
      <c r="U265" t="s">
        <v>27</v>
      </c>
      <c r="V265" t="s">
        <v>28</v>
      </c>
      <c r="W265" t="s">
        <v>29</v>
      </c>
      <c r="X265" t="s">
        <v>30</v>
      </c>
      <c r="Y265" t="s">
        <v>31</v>
      </c>
      <c r="Z265" t="s">
        <v>32</v>
      </c>
      <c r="AA265" t="s">
        <v>33</v>
      </c>
    </row>
    <row r="266" spans="1:27" x14ac:dyDescent="0.3">
      <c r="A266" t="s">
        <v>6</v>
      </c>
      <c r="B266" s="1">
        <v>0.67647100000000004</v>
      </c>
      <c r="C266" s="1">
        <v>0.72448100000000004</v>
      </c>
      <c r="D266" s="1">
        <v>0.70782900000000004</v>
      </c>
      <c r="E266" s="1">
        <v>0.69333900000000004</v>
      </c>
      <c r="F266" s="1">
        <v>0.71626299999999998</v>
      </c>
      <c r="G266" s="1">
        <v>0.68339099999999997</v>
      </c>
      <c r="H266" s="1">
        <v>0.686419</v>
      </c>
      <c r="I266" s="1">
        <v>0.69831299999999996</v>
      </c>
      <c r="J266">
        <f t="shared" si="14"/>
        <v>1.677419597675749E-2</v>
      </c>
      <c r="K266" s="1">
        <v>0.65873700000000002</v>
      </c>
      <c r="L266" s="1">
        <v>0.72058800000000001</v>
      </c>
      <c r="M266" s="1">
        <v>0.70891000000000004</v>
      </c>
      <c r="N266" s="1">
        <v>0.69744799999999996</v>
      </c>
      <c r="O266" s="1">
        <v>0.69788099999999997</v>
      </c>
      <c r="P266" s="1">
        <v>0.670848</v>
      </c>
      <c r="Q266" s="1">
        <v>0.66976599999999997</v>
      </c>
      <c r="R266" s="1">
        <v>0.689168</v>
      </c>
      <c r="S266" s="1"/>
      <c r="T266" s="1">
        <v>0.84234399999999998</v>
      </c>
      <c r="U266" s="1">
        <v>0.85445499999999996</v>
      </c>
      <c r="V266" s="1">
        <v>0.844723</v>
      </c>
      <c r="W266" s="1">
        <v>0.86548400000000003</v>
      </c>
      <c r="X266" s="1">
        <v>0.85856399999999999</v>
      </c>
      <c r="Y266" s="1">
        <v>0.85618499999999997</v>
      </c>
      <c r="Z266" s="1">
        <v>0.86159200000000002</v>
      </c>
      <c r="AA266" s="1">
        <v>0.85476399999999997</v>
      </c>
    </row>
    <row r="267" spans="1:27" x14ac:dyDescent="0.3">
      <c r="A267" t="s">
        <v>7</v>
      </c>
      <c r="B267" s="1">
        <v>0.67884900000000004</v>
      </c>
      <c r="C267" s="1">
        <v>0.72685999999999995</v>
      </c>
      <c r="D267" s="1">
        <v>0.71345199999999998</v>
      </c>
      <c r="E267" s="1">
        <v>0.69290700000000005</v>
      </c>
      <c r="F267" s="1">
        <v>0.70134099999999999</v>
      </c>
      <c r="G267" s="1">
        <v>0.68166099999999996</v>
      </c>
      <c r="H267" s="1">
        <v>0.68209299999999995</v>
      </c>
      <c r="I267" s="1">
        <v>0.69673799999999997</v>
      </c>
      <c r="J267">
        <f t="shared" si="14"/>
        <v>1.7950101047069341E-2</v>
      </c>
      <c r="K267" s="1">
        <v>0.67820100000000005</v>
      </c>
      <c r="L267" s="1">
        <v>0.73377999999999999</v>
      </c>
      <c r="M267" s="1">
        <v>0.69874599999999998</v>
      </c>
      <c r="N267" s="1">
        <v>0.68317499999999998</v>
      </c>
      <c r="O267" s="1">
        <v>0.70090799999999998</v>
      </c>
      <c r="P267" s="1">
        <v>0.688365</v>
      </c>
      <c r="Q267" s="1">
        <v>0.64295000000000002</v>
      </c>
      <c r="R267" s="1">
        <v>0.689446</v>
      </c>
      <c r="S267" s="1"/>
      <c r="T267" s="1">
        <v>0.84450700000000001</v>
      </c>
      <c r="U267" s="1">
        <v>0.85683399999999998</v>
      </c>
      <c r="V267" s="1">
        <v>0.84515600000000002</v>
      </c>
      <c r="W267" s="1">
        <v>0.86851199999999995</v>
      </c>
      <c r="X267" s="1">
        <v>0.86007800000000001</v>
      </c>
      <c r="Y267" s="1">
        <v>0.85683399999999998</v>
      </c>
      <c r="Z267" s="1">
        <v>0.860294</v>
      </c>
      <c r="AA267" s="1">
        <v>0.85603099999999999</v>
      </c>
    </row>
    <row r="268" spans="1:27" x14ac:dyDescent="0.3">
      <c r="A268" t="s">
        <v>8</v>
      </c>
      <c r="B268" s="1">
        <v>0.64511200000000002</v>
      </c>
      <c r="C268" s="1">
        <v>0.68403999999999998</v>
      </c>
      <c r="D268" s="1">
        <v>0.70480100000000001</v>
      </c>
      <c r="E268" s="1">
        <v>0.66630599999999995</v>
      </c>
      <c r="F268" s="1">
        <v>0.71172100000000005</v>
      </c>
      <c r="G268" s="1">
        <v>0.686635</v>
      </c>
      <c r="H268" s="1">
        <v>0.66046700000000003</v>
      </c>
      <c r="I268" s="1">
        <v>0.67986899999999995</v>
      </c>
      <c r="J268">
        <f t="shared" si="14"/>
        <v>2.0289865328943595E-2</v>
      </c>
      <c r="K268" s="1">
        <v>0.61656599999999995</v>
      </c>
      <c r="L268" s="1">
        <v>0.66435999999999995</v>
      </c>
      <c r="M268" s="1">
        <v>0.62781100000000001</v>
      </c>
      <c r="N268" s="1">
        <v>0.62759500000000001</v>
      </c>
      <c r="O268" s="1">
        <v>0.67214499999999999</v>
      </c>
      <c r="P268" s="1">
        <v>0.58715399999999995</v>
      </c>
      <c r="Q268" s="1">
        <v>0.60704999999999998</v>
      </c>
      <c r="R268" s="1">
        <v>0.62895500000000004</v>
      </c>
      <c r="S268" s="1"/>
      <c r="T268" s="1">
        <v>0.59926500000000005</v>
      </c>
      <c r="U268" s="1">
        <v>0.60142700000000004</v>
      </c>
      <c r="V268" s="1">
        <v>0.65700700000000001</v>
      </c>
      <c r="W268" s="1">
        <v>0.62045799999999995</v>
      </c>
      <c r="X268" s="1">
        <v>0.60337399999999997</v>
      </c>
      <c r="Y268" s="1">
        <v>0.561635</v>
      </c>
      <c r="Z268" s="1">
        <v>0.54995700000000003</v>
      </c>
      <c r="AA268" s="1">
        <v>0.59901800000000005</v>
      </c>
    </row>
    <row r="270" spans="1:27" x14ac:dyDescent="0.3">
      <c r="A270" t="s">
        <v>34</v>
      </c>
    </row>
    <row r="271" spans="1:27" x14ac:dyDescent="0.3">
      <c r="A271" t="s">
        <v>6</v>
      </c>
      <c r="B271" s="1">
        <v>0.65702499999999997</v>
      </c>
      <c r="C271" s="1">
        <v>0.67355399999999999</v>
      </c>
      <c r="D271" s="1">
        <v>0.65289299999999995</v>
      </c>
      <c r="E271" s="1">
        <v>0.67148799999999997</v>
      </c>
      <c r="F271" s="1">
        <v>0.77685999999999999</v>
      </c>
      <c r="G271" s="1">
        <v>0.70867800000000003</v>
      </c>
      <c r="H271" s="1">
        <v>0.44628099999999998</v>
      </c>
      <c r="I271" s="1">
        <v>0.655254</v>
      </c>
      <c r="J271">
        <f t="shared" si="14"/>
        <v>0.11127923675870548</v>
      </c>
      <c r="K271" s="1">
        <v>0.53099200000000002</v>
      </c>
      <c r="L271" s="1">
        <v>0.52892600000000001</v>
      </c>
      <c r="M271" s="1">
        <v>0.53099200000000002</v>
      </c>
      <c r="N271" s="1">
        <v>0.559917</v>
      </c>
      <c r="O271" s="1">
        <v>0.55578499999999997</v>
      </c>
      <c r="P271" s="1">
        <v>0.56611599999999995</v>
      </c>
      <c r="Q271" s="1">
        <v>0.40909099999999998</v>
      </c>
      <c r="R271" s="1">
        <v>0.52597400000000005</v>
      </c>
      <c r="S271" s="1"/>
      <c r="T271" s="1">
        <v>0.85950400000000005</v>
      </c>
      <c r="U271" s="1">
        <v>0.85537200000000002</v>
      </c>
      <c r="V271" s="1">
        <v>0.90082600000000002</v>
      </c>
      <c r="W271" s="1">
        <v>0.88223099999999999</v>
      </c>
      <c r="X271" s="1">
        <v>0.89462799999999998</v>
      </c>
      <c r="Y271" s="1">
        <v>0.89256199999999997</v>
      </c>
      <c r="Z271" s="1">
        <v>0.88429800000000003</v>
      </c>
      <c r="AA271" s="1">
        <v>0.88134599999999996</v>
      </c>
    </row>
    <row r="272" spans="1:27" x14ac:dyDescent="0.3">
      <c r="A272" t="s">
        <v>7</v>
      </c>
      <c r="B272" s="1">
        <v>0.64462799999999998</v>
      </c>
      <c r="C272" s="1">
        <v>0.66115699999999999</v>
      </c>
      <c r="D272" s="1">
        <v>0.65082600000000002</v>
      </c>
      <c r="E272" s="1">
        <v>0.66322300000000001</v>
      </c>
      <c r="F272" s="1">
        <v>0.77685999999999999</v>
      </c>
      <c r="G272" s="1">
        <v>0.71281000000000005</v>
      </c>
      <c r="H272" s="1">
        <v>0.43181799999999998</v>
      </c>
      <c r="I272" s="1">
        <v>0.64876</v>
      </c>
      <c r="J272">
        <f t="shared" si="14"/>
        <v>0.11656768666487276</v>
      </c>
      <c r="K272" s="1">
        <v>0.690083</v>
      </c>
      <c r="L272" s="1">
        <v>0.65909099999999998</v>
      </c>
      <c r="M272" s="1">
        <v>0.56611599999999995</v>
      </c>
      <c r="N272" s="1">
        <v>0.66115699999999999</v>
      </c>
      <c r="O272" s="1">
        <v>0.71900799999999998</v>
      </c>
      <c r="P272" s="1">
        <v>0.67768600000000001</v>
      </c>
      <c r="Q272" s="1">
        <v>0.40495900000000001</v>
      </c>
      <c r="R272" s="1">
        <v>0.62544299999999997</v>
      </c>
      <c r="S272" s="1"/>
      <c r="T272" s="1">
        <v>0.86363599999999996</v>
      </c>
      <c r="U272" s="1">
        <v>0.86776900000000001</v>
      </c>
      <c r="V272" s="1">
        <v>0.90495899999999996</v>
      </c>
      <c r="W272" s="1">
        <v>0.88223099999999999</v>
      </c>
      <c r="X272" s="1">
        <v>0.89462799999999998</v>
      </c>
      <c r="Y272" s="1">
        <v>0.89256199999999997</v>
      </c>
      <c r="Z272" s="1">
        <v>0.88016499999999998</v>
      </c>
      <c r="AA272" s="1">
        <v>0.88370700000000002</v>
      </c>
    </row>
    <row r="273" spans="1:27" x14ac:dyDescent="0.3">
      <c r="A273" t="s">
        <v>8</v>
      </c>
      <c r="B273" s="1">
        <v>0.69834700000000005</v>
      </c>
      <c r="C273" s="1">
        <v>0.65702499999999997</v>
      </c>
      <c r="D273" s="1">
        <v>0.61156999999999995</v>
      </c>
      <c r="E273" s="1">
        <v>0.68801699999999999</v>
      </c>
      <c r="F273" s="1">
        <v>0.74586799999999998</v>
      </c>
      <c r="G273" s="1">
        <v>0.72727299999999995</v>
      </c>
      <c r="H273" s="1">
        <v>0.40909099999999998</v>
      </c>
      <c r="I273" s="1">
        <v>0.64817000000000002</v>
      </c>
      <c r="J273">
        <f t="shared" si="14"/>
        <v>0.12292038181305341</v>
      </c>
      <c r="K273" s="1">
        <v>0.65495899999999996</v>
      </c>
      <c r="L273" s="1">
        <v>0.66528900000000002</v>
      </c>
      <c r="M273" s="1">
        <v>0.55578499999999997</v>
      </c>
      <c r="N273" s="1">
        <v>0.58884300000000001</v>
      </c>
      <c r="O273" s="1">
        <v>0.64669399999999999</v>
      </c>
      <c r="P273" s="1">
        <v>0.68181800000000004</v>
      </c>
      <c r="Q273" s="1">
        <v>0.37809900000000002</v>
      </c>
      <c r="R273" s="1">
        <v>0.59592699999999998</v>
      </c>
      <c r="S273" s="1"/>
      <c r="T273" s="1">
        <v>0.67148799999999997</v>
      </c>
      <c r="U273" s="1">
        <v>0.56198300000000001</v>
      </c>
      <c r="V273" s="1">
        <v>0.58677699999999999</v>
      </c>
      <c r="W273" s="1">
        <v>0.45247900000000002</v>
      </c>
      <c r="X273" s="1">
        <v>0.53512400000000004</v>
      </c>
      <c r="Y273" s="1">
        <v>0.38843</v>
      </c>
      <c r="Z273" s="1">
        <v>0.67562</v>
      </c>
      <c r="AA273" s="1">
        <v>0.55312899999999998</v>
      </c>
    </row>
    <row r="275" spans="1:27" x14ac:dyDescent="0.3">
      <c r="A275" t="s">
        <v>35</v>
      </c>
    </row>
    <row r="276" spans="1:27" x14ac:dyDescent="0.3">
      <c r="A276" t="s">
        <v>6</v>
      </c>
      <c r="B276" s="1">
        <v>0.77876299999999998</v>
      </c>
      <c r="C276" s="1">
        <v>0.79519899999999999</v>
      </c>
      <c r="D276" s="1">
        <v>0.77422100000000005</v>
      </c>
      <c r="E276" s="1">
        <v>0.748054</v>
      </c>
      <c r="F276" s="1">
        <v>0.79065700000000005</v>
      </c>
      <c r="G276" s="1">
        <v>0.75605500000000003</v>
      </c>
      <c r="H276" s="1">
        <v>0.77184299999999995</v>
      </c>
      <c r="I276" s="1">
        <v>0.77354199999999995</v>
      </c>
      <c r="J276">
        <f t="shared" si="14"/>
        <v>1.8526646795899149E-2</v>
      </c>
      <c r="K276" s="1">
        <v>0.57655699999999999</v>
      </c>
      <c r="L276" s="1">
        <v>0.64576100000000003</v>
      </c>
      <c r="M276" s="1">
        <v>0.63062300000000004</v>
      </c>
      <c r="N276" s="1">
        <v>0.625865</v>
      </c>
      <c r="O276" s="1">
        <v>0.61570100000000005</v>
      </c>
      <c r="P276" s="1">
        <v>0.60121100000000005</v>
      </c>
      <c r="Q276" s="1">
        <v>0.607483</v>
      </c>
      <c r="R276" s="1">
        <v>0.61474300000000004</v>
      </c>
      <c r="S276" s="1"/>
      <c r="T276" s="1">
        <v>0.82374599999999998</v>
      </c>
      <c r="U276" s="1">
        <v>0.83650500000000005</v>
      </c>
      <c r="V276" s="1">
        <v>0.82309699999999997</v>
      </c>
      <c r="W276" s="1">
        <v>0.861375</v>
      </c>
      <c r="X276" s="1">
        <v>0.83866799999999997</v>
      </c>
      <c r="Y276" s="1">
        <v>0.84104699999999999</v>
      </c>
      <c r="Z276" s="1">
        <v>0.84299299999999999</v>
      </c>
      <c r="AA276" s="1">
        <v>0.83820399999999995</v>
      </c>
    </row>
    <row r="277" spans="1:27" x14ac:dyDescent="0.3">
      <c r="A277" t="s">
        <v>7</v>
      </c>
      <c r="B277" s="1">
        <v>0.80493099999999995</v>
      </c>
      <c r="C277" s="1">
        <v>0.80709299999999995</v>
      </c>
      <c r="D277" s="1">
        <v>0.78979200000000005</v>
      </c>
      <c r="E277" s="1">
        <v>0.75973199999999996</v>
      </c>
      <c r="F277" s="1">
        <v>0.80947199999999997</v>
      </c>
      <c r="G277" s="1">
        <v>0.77249100000000004</v>
      </c>
      <c r="H277" s="1">
        <v>0.79801</v>
      </c>
      <c r="I277" s="1">
        <v>0.79164599999999996</v>
      </c>
      <c r="J277">
        <f t="shared" si="14"/>
        <v>1.9780352298851157E-2</v>
      </c>
      <c r="K277" s="1">
        <v>0.70718000000000003</v>
      </c>
      <c r="L277" s="1">
        <v>0.73399700000000001</v>
      </c>
      <c r="M277" s="1">
        <v>0.66587399999999997</v>
      </c>
      <c r="N277" s="1">
        <v>0.66371100000000005</v>
      </c>
      <c r="O277" s="1">
        <v>0.66327899999999995</v>
      </c>
      <c r="P277" s="1">
        <v>0.64835600000000004</v>
      </c>
      <c r="Q277" s="1">
        <v>0.66890099999999997</v>
      </c>
      <c r="R277" s="1">
        <v>0.67875700000000005</v>
      </c>
      <c r="S277" s="1"/>
      <c r="T277" s="1">
        <v>0.83347800000000005</v>
      </c>
      <c r="U277" s="1">
        <v>0.83736999999999995</v>
      </c>
      <c r="V277" s="1">
        <v>0.826125</v>
      </c>
      <c r="W277" s="1">
        <v>0.86051</v>
      </c>
      <c r="X277" s="1">
        <v>0.844723</v>
      </c>
      <c r="Y277" s="1">
        <v>0.84861600000000004</v>
      </c>
      <c r="Z277" s="1">
        <v>0.845804</v>
      </c>
      <c r="AA277" s="1">
        <v>0.84237499999999998</v>
      </c>
    </row>
    <row r="278" spans="1:27" x14ac:dyDescent="0.3">
      <c r="A278" t="s">
        <v>8</v>
      </c>
      <c r="B278" s="1">
        <v>0.75908299999999995</v>
      </c>
      <c r="C278" s="1">
        <v>0.77962799999999999</v>
      </c>
      <c r="D278" s="1">
        <v>0.77508699999999997</v>
      </c>
      <c r="E278" s="1">
        <v>0.732483</v>
      </c>
      <c r="F278" s="1">
        <v>0.78417000000000003</v>
      </c>
      <c r="G278" s="1">
        <v>0.73832200000000003</v>
      </c>
      <c r="H278" s="1">
        <v>0.74113300000000004</v>
      </c>
      <c r="I278" s="1">
        <v>0.75855799999999995</v>
      </c>
      <c r="J278">
        <f t="shared" si="14"/>
        <v>2.3520685761686446E-2</v>
      </c>
      <c r="K278" s="1">
        <v>0.73183399999999998</v>
      </c>
      <c r="L278" s="1">
        <v>0.69874599999999998</v>
      </c>
      <c r="M278" s="1">
        <v>0.70674700000000001</v>
      </c>
      <c r="N278" s="1">
        <v>0.68079599999999996</v>
      </c>
      <c r="O278" s="1">
        <v>0.73464499999999999</v>
      </c>
      <c r="P278" s="1">
        <v>0.67733600000000005</v>
      </c>
      <c r="Q278" s="1">
        <v>0.66392700000000004</v>
      </c>
      <c r="R278" s="1">
        <v>0.69914699999999996</v>
      </c>
      <c r="S278" s="1"/>
      <c r="T278" s="1">
        <v>0.57547599999999999</v>
      </c>
      <c r="U278" s="1">
        <v>0.53957599999999994</v>
      </c>
      <c r="V278" s="1">
        <v>0.52876299999999998</v>
      </c>
      <c r="W278" s="1">
        <v>0.54281999999999997</v>
      </c>
      <c r="X278" s="1">
        <v>0.58953299999999997</v>
      </c>
      <c r="Y278" s="1">
        <v>0.50346000000000002</v>
      </c>
      <c r="Z278" s="1">
        <v>0.498919</v>
      </c>
      <c r="AA278" s="1">
        <v>0.53979200000000005</v>
      </c>
    </row>
    <row r="280" spans="1:27" x14ac:dyDescent="0.3">
      <c r="A280" t="s">
        <v>36</v>
      </c>
    </row>
    <row r="281" spans="1:27" x14ac:dyDescent="0.3">
      <c r="A281" t="s">
        <v>6</v>
      </c>
      <c r="B281" s="1">
        <v>0.80860699999999996</v>
      </c>
      <c r="C281" s="1">
        <v>0.81293300000000002</v>
      </c>
      <c r="D281" s="1">
        <v>0.79368499999999997</v>
      </c>
      <c r="E281" s="1">
        <v>0.76773400000000003</v>
      </c>
      <c r="F281" s="1">
        <v>0.82028500000000004</v>
      </c>
      <c r="G281" s="1">
        <v>0.77811399999999997</v>
      </c>
      <c r="H281" s="1">
        <v>0.80038900000000002</v>
      </c>
      <c r="I281" s="1">
        <v>0.79739199999999999</v>
      </c>
      <c r="J281">
        <f t="shared" si="14"/>
        <v>2.00928979758189E-2</v>
      </c>
      <c r="K281" s="1">
        <v>0.80428200000000005</v>
      </c>
      <c r="L281" s="1">
        <v>0.80666099999999996</v>
      </c>
      <c r="M281" s="1">
        <v>0.781142</v>
      </c>
      <c r="N281" s="1">
        <v>0.75216300000000003</v>
      </c>
      <c r="O281" s="1">
        <v>0.81639300000000004</v>
      </c>
      <c r="P281" s="1">
        <v>0.767517</v>
      </c>
      <c r="Q281" s="1">
        <v>0.79844300000000001</v>
      </c>
      <c r="R281" s="1">
        <v>0.78951400000000005</v>
      </c>
      <c r="S281" s="1"/>
      <c r="T281" s="1">
        <v>0.66652199999999995</v>
      </c>
      <c r="U281" s="1">
        <v>0.61916099999999996</v>
      </c>
      <c r="V281" s="1">
        <v>0.62478400000000001</v>
      </c>
      <c r="W281" s="1">
        <v>0.64727500000000004</v>
      </c>
      <c r="X281" s="1">
        <v>0.63278500000000004</v>
      </c>
      <c r="Y281" s="1">
        <v>0.62370199999999998</v>
      </c>
      <c r="Z281" s="1">
        <v>0.63451599999999997</v>
      </c>
      <c r="AA281" s="1">
        <v>0.63553499999999996</v>
      </c>
    </row>
    <row r="282" spans="1:27" x14ac:dyDescent="0.3">
      <c r="A282" t="s">
        <v>7</v>
      </c>
      <c r="B282" s="1">
        <v>0.82461099999999998</v>
      </c>
      <c r="C282" s="1">
        <v>0.83088200000000001</v>
      </c>
      <c r="D282" s="1">
        <v>0.80320100000000005</v>
      </c>
      <c r="E282" s="1">
        <v>0.779196</v>
      </c>
      <c r="F282" s="1">
        <v>0.82980100000000001</v>
      </c>
      <c r="G282" s="1">
        <v>0.79476599999999997</v>
      </c>
      <c r="H282" s="1">
        <v>0.81531100000000001</v>
      </c>
      <c r="I282" s="1">
        <v>0.81111</v>
      </c>
      <c r="J282">
        <f t="shared" si="14"/>
        <v>2.0375119030327165E-2</v>
      </c>
      <c r="K282" s="1">
        <v>0.80536300000000005</v>
      </c>
      <c r="L282" s="1">
        <v>0.80557999999999996</v>
      </c>
      <c r="M282" s="1">
        <v>0.78481800000000002</v>
      </c>
      <c r="N282" s="1">
        <v>0.75540700000000005</v>
      </c>
      <c r="O282" s="1">
        <v>0.81833900000000004</v>
      </c>
      <c r="P282" s="1">
        <v>0.77270799999999995</v>
      </c>
      <c r="Q282" s="1">
        <v>0.80211900000000003</v>
      </c>
      <c r="R282" s="1">
        <v>0.79204799999999997</v>
      </c>
      <c r="S282" s="1"/>
      <c r="T282" s="1">
        <v>0.66522499999999996</v>
      </c>
      <c r="U282" s="1">
        <v>0.61894499999999997</v>
      </c>
      <c r="V282" s="1">
        <v>0.624135</v>
      </c>
      <c r="W282" s="1">
        <v>0.64900500000000005</v>
      </c>
      <c r="X282" s="1">
        <v>0.62932500000000002</v>
      </c>
      <c r="Y282" s="1">
        <v>0.62153999999999998</v>
      </c>
      <c r="Z282" s="1">
        <v>0.63213699999999995</v>
      </c>
      <c r="AA282" s="1">
        <v>0.63432999999999995</v>
      </c>
    </row>
    <row r="283" spans="1:27" x14ac:dyDescent="0.3">
      <c r="A283" t="s">
        <v>8</v>
      </c>
      <c r="B283" s="1">
        <v>0.80125400000000002</v>
      </c>
      <c r="C283" s="1">
        <v>0.80103800000000003</v>
      </c>
      <c r="D283" s="1">
        <v>0.76686900000000002</v>
      </c>
      <c r="E283" s="1">
        <v>0.78070899999999999</v>
      </c>
      <c r="F283" s="1">
        <v>0.82223199999999996</v>
      </c>
      <c r="G283" s="1">
        <v>0.81574400000000002</v>
      </c>
      <c r="H283" s="1">
        <v>0.76319199999999998</v>
      </c>
      <c r="I283" s="1">
        <v>0.79300499999999996</v>
      </c>
      <c r="J283">
        <f t="shared" si="14"/>
        <v>2.5090129801710204E-2</v>
      </c>
      <c r="K283" s="1">
        <v>0.80536300000000005</v>
      </c>
      <c r="L283" s="1">
        <v>0.77292400000000006</v>
      </c>
      <c r="M283" s="1">
        <v>0.77162600000000003</v>
      </c>
      <c r="N283" s="1">
        <v>0.74070100000000005</v>
      </c>
      <c r="O283" s="1">
        <v>0.80947199999999997</v>
      </c>
      <c r="P283" s="1">
        <v>0.78957599999999994</v>
      </c>
      <c r="Q283" s="1">
        <v>0.77530299999999996</v>
      </c>
      <c r="R283" s="1">
        <v>0.78070899999999999</v>
      </c>
      <c r="S283" s="1"/>
      <c r="T283" s="1">
        <v>0.638625</v>
      </c>
      <c r="U283" s="1">
        <v>0.59126299999999998</v>
      </c>
      <c r="V283" s="1">
        <v>0.57309699999999997</v>
      </c>
      <c r="W283" s="1">
        <v>0.55839099999999997</v>
      </c>
      <c r="X283" s="1">
        <v>0.60769899999999999</v>
      </c>
      <c r="Y283" s="1">
        <v>0.58564000000000005</v>
      </c>
      <c r="Z283" s="1">
        <v>0.63343400000000005</v>
      </c>
      <c r="AA283" s="1">
        <v>0.59830700000000003</v>
      </c>
    </row>
    <row r="285" spans="1:27" x14ac:dyDescent="0.3">
      <c r="A285" t="s">
        <v>63</v>
      </c>
    </row>
    <row r="286" spans="1:27" x14ac:dyDescent="0.3">
      <c r="A286" t="s">
        <v>169</v>
      </c>
      <c r="B286" t="s">
        <v>1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44</v>
      </c>
      <c r="K286" t="s">
        <v>45</v>
      </c>
      <c r="L286" t="s">
        <v>46</v>
      </c>
      <c r="M286" t="s">
        <v>47</v>
      </c>
      <c r="N286" t="s">
        <v>48</v>
      </c>
      <c r="O286" t="s">
        <v>49</v>
      </c>
    </row>
    <row r="287" spans="1:27" x14ac:dyDescent="0.3">
      <c r="A287" t="s">
        <v>6</v>
      </c>
      <c r="B287" s="1">
        <v>0.5</v>
      </c>
      <c r="C287" s="1">
        <v>0.69831299999999996</v>
      </c>
      <c r="D287" s="1">
        <v>0.655254</v>
      </c>
      <c r="E287" s="1">
        <v>0.77354199999999995</v>
      </c>
      <c r="F287" s="1">
        <v>0.79739199999999999</v>
      </c>
      <c r="G287" s="1">
        <v>0.689168</v>
      </c>
      <c r="H287" s="1">
        <v>0.52597400000000005</v>
      </c>
      <c r="I287" s="1">
        <v>0.61474300000000004</v>
      </c>
      <c r="K287" s="1">
        <v>0.78951400000000005</v>
      </c>
      <c r="L287" s="1">
        <v>0.85476399999999997</v>
      </c>
      <c r="M287" s="1">
        <v>0.88134599999999996</v>
      </c>
      <c r="N287" s="1">
        <v>0.83820399999999995</v>
      </c>
      <c r="O287" s="1">
        <v>0.63553499999999996</v>
      </c>
    </row>
    <row r="288" spans="1:27" x14ac:dyDescent="0.3">
      <c r="A288" t="s">
        <v>7</v>
      </c>
      <c r="B288" s="1">
        <v>0.52775399999999995</v>
      </c>
      <c r="C288" s="1">
        <v>0.69673799999999997</v>
      </c>
      <c r="D288" s="1">
        <v>0.64876</v>
      </c>
      <c r="E288" s="1">
        <v>0.79164599999999996</v>
      </c>
      <c r="F288" s="1">
        <v>0.81111</v>
      </c>
      <c r="G288" s="1">
        <v>0.689446</v>
      </c>
      <c r="H288" s="1">
        <v>0.62544299999999997</v>
      </c>
      <c r="I288" s="1">
        <v>0.67875700000000005</v>
      </c>
      <c r="K288" s="1">
        <v>0.79204799999999997</v>
      </c>
      <c r="L288" s="1">
        <v>0.85603099999999999</v>
      </c>
      <c r="M288" s="1">
        <v>0.88370700000000002</v>
      </c>
      <c r="N288" s="1">
        <v>0.84237499999999998</v>
      </c>
      <c r="O288" s="1">
        <v>0.63432999999999995</v>
      </c>
    </row>
    <row r="289" spans="1:27" x14ac:dyDescent="0.3">
      <c r="A289" t="s">
        <v>8</v>
      </c>
      <c r="B289" s="1">
        <v>0.72758100000000003</v>
      </c>
      <c r="C289" s="1">
        <v>0.67986899999999995</v>
      </c>
      <c r="D289" s="1">
        <v>0.64817000000000002</v>
      </c>
      <c r="E289" s="1">
        <v>0.75855799999999995</v>
      </c>
      <c r="F289" s="1">
        <v>0.79300499999999996</v>
      </c>
      <c r="G289" s="1">
        <v>0.62895500000000004</v>
      </c>
      <c r="H289" s="1">
        <v>0.59592699999999998</v>
      </c>
      <c r="I289" s="1">
        <v>0.69914699999999996</v>
      </c>
      <c r="K289" s="1">
        <v>0.78070899999999999</v>
      </c>
      <c r="L289" s="1">
        <v>0.59901800000000005</v>
      </c>
      <c r="M289" s="1">
        <v>0.55312899999999998</v>
      </c>
      <c r="N289" s="1">
        <v>0.53979200000000005</v>
      </c>
      <c r="O289" s="1">
        <v>0.59830700000000003</v>
      </c>
    </row>
    <row r="292" spans="1:27" x14ac:dyDescent="0.3">
      <c r="A292" s="2" t="s">
        <v>64</v>
      </c>
    </row>
    <row r="293" spans="1:27" x14ac:dyDescent="0.3">
      <c r="C293" t="s">
        <v>1</v>
      </c>
    </row>
    <row r="294" spans="1:27" x14ac:dyDescent="0.3">
      <c r="B294" t="s">
        <v>2</v>
      </c>
      <c r="C294" t="s">
        <v>3</v>
      </c>
      <c r="D294" t="s">
        <v>4</v>
      </c>
      <c r="E294" t="s">
        <v>5</v>
      </c>
    </row>
    <row r="295" spans="1:27" x14ac:dyDescent="0.3">
      <c r="A295" t="s">
        <v>6</v>
      </c>
      <c r="B295" s="1">
        <v>0.5</v>
      </c>
      <c r="C295" s="1">
        <v>0.5</v>
      </c>
      <c r="D295" s="1">
        <v>0.5</v>
      </c>
      <c r="E295" s="1">
        <v>0.5</v>
      </c>
    </row>
    <row r="296" spans="1:27" x14ac:dyDescent="0.3">
      <c r="A296" t="s">
        <v>7</v>
      </c>
      <c r="B296" s="1">
        <v>0.52951400000000004</v>
      </c>
      <c r="C296" s="1">
        <v>0.41493099999999999</v>
      </c>
      <c r="D296" s="1">
        <v>0.29340300000000002</v>
      </c>
      <c r="E296" s="1">
        <v>0.41261599999999998</v>
      </c>
    </row>
    <row r="297" spans="1:27" x14ac:dyDescent="0.3">
      <c r="A297" t="s">
        <v>8</v>
      </c>
      <c r="B297" s="1">
        <v>0.515625</v>
      </c>
      <c r="C297" s="1">
        <v>0.58159700000000003</v>
      </c>
      <c r="D297" s="1">
        <v>0.58506899999999995</v>
      </c>
      <c r="E297" s="1">
        <v>0.56076400000000004</v>
      </c>
    </row>
    <row r="299" spans="1:27" x14ac:dyDescent="0.3">
      <c r="A299" t="s">
        <v>9</v>
      </c>
    </row>
    <row r="300" spans="1:27" x14ac:dyDescent="0.3">
      <c r="B300" t="s">
        <v>10</v>
      </c>
      <c r="C300" t="s">
        <v>11</v>
      </c>
      <c r="D300" t="s">
        <v>12</v>
      </c>
      <c r="E300" t="s">
        <v>13</v>
      </c>
      <c r="F300" t="s">
        <v>14</v>
      </c>
      <c r="G300" t="s">
        <v>15</v>
      </c>
      <c r="H300" t="s">
        <v>16</v>
      </c>
      <c r="I300" t="s">
        <v>17</v>
      </c>
      <c r="K300" t="s">
        <v>18</v>
      </c>
      <c r="L300" t="s">
        <v>19</v>
      </c>
      <c r="M300" t="s">
        <v>20</v>
      </c>
      <c r="N300" t="s">
        <v>21</v>
      </c>
      <c r="O300" t="s">
        <v>22</v>
      </c>
      <c r="P300" t="s">
        <v>23</v>
      </c>
      <c r="Q300" t="s">
        <v>24</v>
      </c>
      <c r="R300" t="s">
        <v>25</v>
      </c>
      <c r="T300" t="s">
        <v>26</v>
      </c>
      <c r="U300" t="s">
        <v>27</v>
      </c>
      <c r="V300" t="s">
        <v>28</v>
      </c>
      <c r="W300" t="s">
        <v>29</v>
      </c>
      <c r="X300" t="s">
        <v>30</v>
      </c>
      <c r="Y300" t="s">
        <v>31</v>
      </c>
      <c r="Z300" t="s">
        <v>32</v>
      </c>
      <c r="AA300" t="s">
        <v>33</v>
      </c>
    </row>
    <row r="301" spans="1:27" x14ac:dyDescent="0.3">
      <c r="A301" t="s">
        <v>6</v>
      </c>
      <c r="B301" s="1">
        <v>0.57118100000000005</v>
      </c>
      <c r="C301" s="1">
        <v>0.64236099999999996</v>
      </c>
      <c r="D301" s="1">
        <v>0.57986099999999996</v>
      </c>
      <c r="E301" s="1">
        <v>0.57465299999999997</v>
      </c>
      <c r="F301" s="1">
        <v>0.640625</v>
      </c>
      <c r="G301" s="1">
        <v>0.56076400000000004</v>
      </c>
      <c r="H301" s="1">
        <v>0.52256899999999995</v>
      </c>
      <c r="I301" s="1">
        <v>0.58457300000000001</v>
      </c>
      <c r="J301">
        <f t="shared" si="14"/>
        <v>4.6868644425671201E-2</v>
      </c>
      <c r="K301" s="1">
        <v>0.57986099999999996</v>
      </c>
      <c r="L301" s="1">
        <v>0.61631899999999995</v>
      </c>
      <c r="M301" s="1">
        <v>0.56597200000000003</v>
      </c>
      <c r="N301" s="1">
        <v>0.55208299999999999</v>
      </c>
      <c r="O301" s="1">
        <v>0.57986099999999996</v>
      </c>
      <c r="P301" s="1">
        <v>0.55381899999999995</v>
      </c>
      <c r="Q301" s="1">
        <v>0.55208299999999999</v>
      </c>
      <c r="R301" s="1">
        <v>0.57142899999999996</v>
      </c>
      <c r="S301" s="1"/>
      <c r="T301" s="1">
        <v>0.41840300000000002</v>
      </c>
      <c r="U301" s="1">
        <v>0.43923600000000002</v>
      </c>
      <c r="V301" s="1">
        <v>0.4375</v>
      </c>
      <c r="W301" s="1">
        <v>0.359375</v>
      </c>
      <c r="X301" s="1">
        <v>0.42881900000000001</v>
      </c>
      <c r="Y301" s="1">
        <v>0.421875</v>
      </c>
      <c r="Z301" s="1">
        <v>0.38194400000000001</v>
      </c>
      <c r="AA301" s="1">
        <v>0.41244999999999998</v>
      </c>
    </row>
    <row r="302" spans="1:27" x14ac:dyDescent="0.3">
      <c r="A302" t="s">
        <v>7</v>
      </c>
      <c r="B302" s="1">
        <v>0.57291700000000001</v>
      </c>
      <c r="C302" s="1">
        <v>0.63368100000000005</v>
      </c>
      <c r="D302" s="1">
        <v>0.59722200000000003</v>
      </c>
      <c r="E302" s="1">
        <v>0.56423599999999996</v>
      </c>
      <c r="F302" s="1">
        <v>0.64409700000000003</v>
      </c>
      <c r="G302" s="1">
        <v>0.56770799999999999</v>
      </c>
      <c r="H302" s="1">
        <v>0.54166700000000001</v>
      </c>
      <c r="I302" s="1">
        <v>0.58879000000000004</v>
      </c>
      <c r="J302">
        <f t="shared" si="14"/>
        <v>4.0917258175086318E-2</v>
      </c>
      <c r="K302" s="1">
        <v>0.59548599999999996</v>
      </c>
      <c r="L302" s="1">
        <v>0.67881899999999995</v>
      </c>
      <c r="M302" s="1">
        <v>0.58506899999999995</v>
      </c>
      <c r="N302" s="1">
        <v>0.57638900000000004</v>
      </c>
      <c r="O302" s="1">
        <v>0.65104200000000001</v>
      </c>
      <c r="P302" s="1">
        <v>0.59201400000000004</v>
      </c>
      <c r="Q302" s="1">
        <v>0.55555600000000005</v>
      </c>
      <c r="R302" s="1">
        <v>0.60491099999999998</v>
      </c>
      <c r="S302" s="1"/>
      <c r="T302" s="1">
        <v>0.43229200000000001</v>
      </c>
      <c r="U302" s="1">
        <v>0.46354200000000001</v>
      </c>
      <c r="V302" s="1">
        <v>0.46527800000000002</v>
      </c>
      <c r="W302" s="1">
        <v>0.36805599999999999</v>
      </c>
      <c r="X302" s="1">
        <v>0.43055599999999999</v>
      </c>
      <c r="Y302" s="1">
        <v>0.42361100000000002</v>
      </c>
      <c r="Z302" s="1">
        <v>0.375</v>
      </c>
      <c r="AA302" s="1">
        <v>0.42261900000000002</v>
      </c>
    </row>
    <row r="303" spans="1:27" x14ac:dyDescent="0.3">
      <c r="A303" t="s">
        <v>8</v>
      </c>
      <c r="B303" s="1">
        <v>0.62326400000000004</v>
      </c>
      <c r="C303" s="1">
        <v>0.64756899999999995</v>
      </c>
      <c r="D303" s="1">
        <v>0.65277799999999997</v>
      </c>
      <c r="E303" s="1">
        <v>0.62326400000000004</v>
      </c>
      <c r="F303" s="1">
        <v>0.70659700000000003</v>
      </c>
      <c r="G303" s="1">
        <v>0.609375</v>
      </c>
      <c r="H303" s="1">
        <v>0.546875</v>
      </c>
      <c r="I303" s="1">
        <v>0.62995999999999996</v>
      </c>
      <c r="J303">
        <f t="shared" si="14"/>
        <v>5.3043729958088981E-2</v>
      </c>
      <c r="K303" s="1">
        <v>0.71006899999999995</v>
      </c>
      <c r="L303" s="1">
        <v>0.78993100000000005</v>
      </c>
      <c r="M303" s="1">
        <v>0.69965299999999997</v>
      </c>
      <c r="N303" s="1">
        <v>0.62326400000000004</v>
      </c>
      <c r="O303" s="1">
        <v>0.71527799999999997</v>
      </c>
      <c r="P303" s="1">
        <v>0.64236099999999996</v>
      </c>
      <c r="Q303" s="1">
        <v>0.67361099999999996</v>
      </c>
      <c r="R303" s="1">
        <v>0.69345199999999996</v>
      </c>
      <c r="S303" s="1"/>
      <c r="T303" s="1">
        <v>0.44444400000000001</v>
      </c>
      <c r="U303" s="1">
        <v>0.58333299999999999</v>
      </c>
      <c r="V303" s="1">
        <v>0.71701400000000004</v>
      </c>
      <c r="W303" s="1">
        <v>0.42361100000000002</v>
      </c>
      <c r="X303" s="1">
        <v>0.58680600000000005</v>
      </c>
      <c r="Y303" s="1">
        <v>0.60590299999999997</v>
      </c>
      <c r="Z303" s="1">
        <v>0.43055599999999999</v>
      </c>
      <c r="AA303" s="1">
        <v>0.54166700000000001</v>
      </c>
    </row>
    <row r="305" spans="1:27" x14ac:dyDescent="0.3">
      <c r="A305" t="s">
        <v>34</v>
      </c>
    </row>
    <row r="306" spans="1:27" x14ac:dyDescent="0.3">
      <c r="A306" t="s">
        <v>6</v>
      </c>
      <c r="B306" s="1">
        <v>0.50694399999999995</v>
      </c>
      <c r="C306" s="1">
        <v>0.59375</v>
      </c>
      <c r="D306" s="1">
        <v>0.51215299999999997</v>
      </c>
      <c r="E306" s="1">
        <v>0.48784699999999998</v>
      </c>
      <c r="F306" s="1">
        <v>0.55381899999999995</v>
      </c>
      <c r="G306" s="1">
        <v>0.50520799999999999</v>
      </c>
      <c r="H306" s="1">
        <v>0.46527800000000002</v>
      </c>
      <c r="I306" s="1">
        <v>0.51785700000000001</v>
      </c>
      <c r="J306">
        <f t="shared" si="14"/>
        <v>4.6670864836283736E-2</v>
      </c>
      <c r="K306" s="1">
        <v>0.72916700000000001</v>
      </c>
      <c r="L306" s="1">
        <v>0.77777799999999997</v>
      </c>
      <c r="M306" s="1">
        <v>0.71701400000000004</v>
      </c>
      <c r="N306" s="1">
        <v>0.68055600000000005</v>
      </c>
      <c r="O306" s="1">
        <v>0.73611099999999996</v>
      </c>
      <c r="P306" s="1">
        <v>0.68229200000000001</v>
      </c>
      <c r="Q306" s="1">
        <v>0.671875</v>
      </c>
      <c r="R306" s="1">
        <v>0.71354200000000001</v>
      </c>
      <c r="S306" s="1"/>
      <c r="T306" s="1">
        <v>0.47048600000000002</v>
      </c>
      <c r="U306" s="1">
        <v>0.48090300000000002</v>
      </c>
      <c r="V306" s="1">
        <v>0.46354200000000001</v>
      </c>
      <c r="W306" s="1">
        <v>0.44791700000000001</v>
      </c>
      <c r="X306" s="1">
        <v>0.44097199999999998</v>
      </c>
      <c r="Y306" s="1">
        <v>0.44097199999999998</v>
      </c>
      <c r="Z306" s="1">
        <v>0.37326399999999998</v>
      </c>
      <c r="AA306" s="1">
        <v>0.44543700000000003</v>
      </c>
    </row>
    <row r="307" spans="1:27" x14ac:dyDescent="0.3">
      <c r="A307" t="s">
        <v>7</v>
      </c>
      <c r="B307" s="1">
        <v>0.5</v>
      </c>
      <c r="C307" s="1">
        <v>0.57118100000000005</v>
      </c>
      <c r="D307" s="1">
        <v>0.52256899999999995</v>
      </c>
      <c r="E307" s="1">
        <v>0.48611100000000002</v>
      </c>
      <c r="F307" s="1">
        <v>0.58680600000000005</v>
      </c>
      <c r="G307" s="1">
        <v>0.51736099999999996</v>
      </c>
      <c r="H307" s="1">
        <v>0.49131900000000001</v>
      </c>
      <c r="I307" s="1">
        <v>0.52505000000000002</v>
      </c>
      <c r="J307">
        <f t="shared" si="14"/>
        <v>4.136814271755504E-2</v>
      </c>
      <c r="K307" s="1">
        <v>0.79513900000000004</v>
      </c>
      <c r="L307" s="1">
        <v>0.88715299999999997</v>
      </c>
      <c r="M307" s="1">
        <v>0.71875</v>
      </c>
      <c r="N307" s="1">
        <v>0.72743100000000005</v>
      </c>
      <c r="O307" s="1">
        <v>0.80729200000000001</v>
      </c>
      <c r="P307" s="1">
        <v>0.82118100000000005</v>
      </c>
      <c r="Q307" s="1">
        <v>0.80381899999999995</v>
      </c>
      <c r="R307" s="1">
        <v>0.79439499999999996</v>
      </c>
      <c r="S307" s="1"/>
      <c r="T307" s="1">
        <v>0.47222199999999998</v>
      </c>
      <c r="U307" s="1">
        <v>0.46701399999999998</v>
      </c>
      <c r="V307" s="1">
        <v>0.45659699999999998</v>
      </c>
      <c r="W307" s="1">
        <v>0.421875</v>
      </c>
      <c r="X307" s="1">
        <v>0.44791700000000001</v>
      </c>
      <c r="Y307" s="1">
        <v>0.44791700000000001</v>
      </c>
      <c r="Z307" s="1">
        <v>0.37673600000000002</v>
      </c>
      <c r="AA307" s="1">
        <v>0.44146800000000003</v>
      </c>
    </row>
    <row r="308" spans="1:27" x14ac:dyDescent="0.3">
      <c r="A308" t="s">
        <v>8</v>
      </c>
      <c r="B308" s="1">
        <v>0.53472200000000003</v>
      </c>
      <c r="C308" s="1">
        <v>0.57638900000000004</v>
      </c>
      <c r="D308" s="1">
        <v>0.53298599999999996</v>
      </c>
      <c r="E308" s="1">
        <v>0.50868100000000005</v>
      </c>
      <c r="F308" s="1">
        <v>0.578125</v>
      </c>
      <c r="G308" s="1">
        <v>0.56944399999999995</v>
      </c>
      <c r="H308" s="1">
        <v>0.47569400000000001</v>
      </c>
      <c r="I308" s="1">
        <v>0.539435</v>
      </c>
      <c r="J308">
        <f t="shared" si="14"/>
        <v>4.1975401641516974E-2</v>
      </c>
      <c r="K308" s="1">
        <v>0.74652799999999997</v>
      </c>
      <c r="L308" s="1">
        <v>0.81944399999999995</v>
      </c>
      <c r="M308" s="1">
        <v>0.73958299999999999</v>
      </c>
      <c r="N308" s="1">
        <v>0.75520799999999999</v>
      </c>
      <c r="O308" s="1">
        <v>0.80555600000000005</v>
      </c>
      <c r="P308" s="1">
        <v>0.75520799999999999</v>
      </c>
      <c r="Q308" s="1">
        <v>0.73958299999999999</v>
      </c>
      <c r="R308" s="1">
        <v>0.76587300000000003</v>
      </c>
      <c r="S308" s="1"/>
      <c r="T308" s="1">
        <v>0.55381899999999995</v>
      </c>
      <c r="U308" s="1">
        <v>0.57986099999999996</v>
      </c>
      <c r="V308" s="1">
        <v>0.68402799999999997</v>
      </c>
      <c r="W308" s="1">
        <v>0.55034700000000003</v>
      </c>
      <c r="X308" s="1">
        <v>0.64756899999999995</v>
      </c>
      <c r="Y308" s="1">
        <v>0.74652799999999997</v>
      </c>
      <c r="Z308" s="1">
        <v>0.49131900000000001</v>
      </c>
      <c r="AA308" s="1">
        <v>0.60763900000000004</v>
      </c>
    </row>
    <row r="310" spans="1:27" x14ac:dyDescent="0.3">
      <c r="A310" t="s">
        <v>35</v>
      </c>
    </row>
    <row r="311" spans="1:27" x14ac:dyDescent="0.3">
      <c r="A311" t="s">
        <v>6</v>
      </c>
      <c r="B311" s="1">
        <v>0.55381899999999995</v>
      </c>
      <c r="C311" s="1">
        <v>0.59895799999999999</v>
      </c>
      <c r="D311" s="1">
        <v>0.58506899999999995</v>
      </c>
      <c r="E311" s="1">
        <v>0.52951400000000004</v>
      </c>
      <c r="F311" s="1">
        <v>0.63888900000000004</v>
      </c>
      <c r="G311" s="1">
        <v>0.63541700000000001</v>
      </c>
      <c r="H311" s="1">
        <v>0.56770799999999999</v>
      </c>
      <c r="I311" s="1">
        <v>0.58705399999999996</v>
      </c>
      <c r="J311">
        <f t="shared" si="14"/>
        <v>4.164747737258525E-2</v>
      </c>
      <c r="K311" s="1">
        <v>0.53993100000000005</v>
      </c>
      <c r="L311" s="1">
        <v>0.60590299999999997</v>
      </c>
      <c r="M311" s="1">
        <v>0.50868100000000005</v>
      </c>
      <c r="N311" s="1">
        <v>0.53993100000000005</v>
      </c>
      <c r="O311" s="1">
        <v>0.54513900000000004</v>
      </c>
      <c r="P311" s="1">
        <v>0.515625</v>
      </c>
      <c r="Q311" s="1">
        <v>0.55555600000000005</v>
      </c>
      <c r="R311" s="1">
        <v>0.54439499999999996</v>
      </c>
      <c r="S311" s="1"/>
      <c r="T311" s="1">
        <v>0.43229200000000001</v>
      </c>
      <c r="U311" s="1">
        <v>0.43923600000000002</v>
      </c>
      <c r="V311" s="1">
        <v>0.43576399999999998</v>
      </c>
      <c r="W311" s="1">
        <v>0.40798600000000002</v>
      </c>
      <c r="X311" s="1">
        <v>0.41145799999999999</v>
      </c>
      <c r="Y311" s="1">
        <v>0.42013899999999998</v>
      </c>
      <c r="Z311" s="1">
        <v>0.36458299999999999</v>
      </c>
      <c r="AA311" s="1">
        <v>0.41592299999999999</v>
      </c>
    </row>
    <row r="312" spans="1:27" x14ac:dyDescent="0.3">
      <c r="A312" t="s">
        <v>7</v>
      </c>
      <c r="B312" s="1">
        <v>0.58333299999999999</v>
      </c>
      <c r="C312" s="1">
        <v>0.61284700000000003</v>
      </c>
      <c r="D312" s="1">
        <v>0.61979200000000001</v>
      </c>
      <c r="E312" s="1">
        <v>0.55381899999999995</v>
      </c>
      <c r="F312" s="1">
        <v>0.68229200000000001</v>
      </c>
      <c r="G312" s="1">
        <v>0.67534700000000003</v>
      </c>
      <c r="H312" s="1">
        <v>0.61111099999999996</v>
      </c>
      <c r="I312" s="1">
        <v>0.61979200000000001</v>
      </c>
      <c r="J312">
        <f t="shared" ref="J312:J353" si="15">_xlfn.STDEV.S(C312:H312)</f>
        <v>4.74281158892065E-2</v>
      </c>
      <c r="K312" s="1">
        <v>0.80555600000000005</v>
      </c>
      <c r="L312" s="1">
        <v>0.86458299999999999</v>
      </c>
      <c r="M312" s="1">
        <v>0.80729200000000001</v>
      </c>
      <c r="N312" s="1">
        <v>0.82118100000000005</v>
      </c>
      <c r="O312" s="1">
        <v>0.74826400000000004</v>
      </c>
      <c r="P312" s="1">
        <v>0.69444399999999995</v>
      </c>
      <c r="Q312" s="1">
        <v>0.6875</v>
      </c>
      <c r="R312" s="1">
        <v>0.77554599999999996</v>
      </c>
      <c r="S312" s="1"/>
      <c r="T312" s="1">
        <v>0.42881900000000001</v>
      </c>
      <c r="U312" s="1">
        <v>0.46180599999999999</v>
      </c>
      <c r="V312" s="1">
        <v>0.44618099999999999</v>
      </c>
      <c r="W312" s="1">
        <v>0.390625</v>
      </c>
      <c r="X312" s="1">
        <v>0.43576399999999998</v>
      </c>
      <c r="Y312" s="1">
        <v>0.44270799999999999</v>
      </c>
      <c r="Z312" s="1">
        <v>0.36284699999999998</v>
      </c>
      <c r="AA312" s="1">
        <v>0.42410700000000001</v>
      </c>
    </row>
    <row r="313" spans="1:27" x14ac:dyDescent="0.3">
      <c r="A313" t="s">
        <v>8</v>
      </c>
      <c r="B313" s="1">
        <v>0.57465299999999997</v>
      </c>
      <c r="C313" s="1">
        <v>0.58506899999999995</v>
      </c>
      <c r="D313" s="1">
        <v>0.57986099999999996</v>
      </c>
      <c r="E313" s="1">
        <v>0.50520799999999999</v>
      </c>
      <c r="F313" s="1">
        <v>0.53993100000000005</v>
      </c>
      <c r="G313" s="1">
        <v>0.59027799999999997</v>
      </c>
      <c r="H313" s="1">
        <v>0.48784699999999998</v>
      </c>
      <c r="I313" s="1">
        <v>0.55183499999999996</v>
      </c>
      <c r="J313">
        <f t="shared" si="15"/>
        <v>4.4025684610993453E-2</v>
      </c>
      <c r="K313" s="1">
        <v>0.53645799999999999</v>
      </c>
      <c r="L313" s="1">
        <v>0.60243100000000005</v>
      </c>
      <c r="M313" s="1">
        <v>0.57465299999999997</v>
      </c>
      <c r="N313" s="1">
        <v>0.48784699999999998</v>
      </c>
      <c r="O313" s="1">
        <v>0.63194399999999995</v>
      </c>
      <c r="P313" s="1">
        <v>0.57638900000000004</v>
      </c>
      <c r="Q313" s="1">
        <v>0.56076400000000004</v>
      </c>
      <c r="R313" s="1">
        <v>0.56721200000000005</v>
      </c>
      <c r="S313" s="1"/>
      <c r="T313" s="1">
        <v>0.59895799999999999</v>
      </c>
      <c r="U313" s="1">
        <v>0.56076400000000004</v>
      </c>
      <c r="V313" s="1">
        <v>0.68229200000000001</v>
      </c>
      <c r="W313" s="1">
        <v>0.47395799999999999</v>
      </c>
      <c r="X313" s="1">
        <v>0.59375</v>
      </c>
      <c r="Y313" s="1">
        <v>0.61458299999999999</v>
      </c>
      <c r="Z313" s="1">
        <v>0.453125</v>
      </c>
      <c r="AA313" s="1">
        <v>0.56820400000000004</v>
      </c>
    </row>
    <row r="315" spans="1:27" x14ac:dyDescent="0.3">
      <c r="A315" t="s">
        <v>36</v>
      </c>
    </row>
    <row r="316" spans="1:27" x14ac:dyDescent="0.3">
      <c r="A316" t="s">
        <v>6</v>
      </c>
      <c r="B316" s="1">
        <v>0.55381899999999995</v>
      </c>
      <c r="C316" s="1">
        <v>0.57291700000000001</v>
      </c>
      <c r="D316" s="1">
        <v>0.578125</v>
      </c>
      <c r="E316" s="1">
        <v>0.515625</v>
      </c>
      <c r="F316" s="1">
        <v>0.63020799999999999</v>
      </c>
      <c r="G316" s="1">
        <v>0.64583299999999999</v>
      </c>
      <c r="H316" s="1">
        <v>0.57465299999999997</v>
      </c>
      <c r="I316" s="1">
        <v>0.58159700000000003</v>
      </c>
      <c r="J316">
        <f t="shared" si="15"/>
        <v>4.6580257579436658E-2</v>
      </c>
      <c r="K316" s="1">
        <v>0.52777799999999997</v>
      </c>
      <c r="L316" s="1">
        <v>0.52777799999999997</v>
      </c>
      <c r="M316" s="1">
        <v>0.5625</v>
      </c>
      <c r="N316" s="1">
        <v>0.49131900000000001</v>
      </c>
      <c r="O316" s="1">
        <v>0.61111099999999996</v>
      </c>
      <c r="P316" s="1">
        <v>0.62847200000000003</v>
      </c>
      <c r="Q316" s="1">
        <v>0.54340299999999997</v>
      </c>
      <c r="R316" s="1">
        <v>0.55605199999999999</v>
      </c>
      <c r="S316" s="1"/>
      <c r="T316" s="1">
        <v>0.60763900000000004</v>
      </c>
      <c r="U316" s="1">
        <v>0.61111099999999996</v>
      </c>
      <c r="V316" s="1">
        <v>0.63541700000000001</v>
      </c>
      <c r="W316" s="1">
        <v>0.63194399999999995</v>
      </c>
      <c r="X316" s="1">
        <v>0.57638900000000004</v>
      </c>
      <c r="Y316" s="1">
        <v>0.61631899999999995</v>
      </c>
      <c r="Z316" s="1">
        <v>0.61111099999999996</v>
      </c>
      <c r="AA316" s="1">
        <v>0.61284700000000003</v>
      </c>
    </row>
    <row r="317" spans="1:27" x14ac:dyDescent="0.3">
      <c r="A317" t="s">
        <v>7</v>
      </c>
      <c r="B317" s="1">
        <v>0.60069399999999995</v>
      </c>
      <c r="C317" s="1">
        <v>0.59722200000000003</v>
      </c>
      <c r="D317" s="1">
        <v>0.61284700000000003</v>
      </c>
      <c r="E317" s="1">
        <v>0.55902799999999997</v>
      </c>
      <c r="F317" s="1">
        <v>0.68229200000000001</v>
      </c>
      <c r="G317" s="1">
        <v>0.70138900000000004</v>
      </c>
      <c r="H317" s="1">
        <v>0.63715299999999997</v>
      </c>
      <c r="I317" s="1">
        <v>0.62723200000000001</v>
      </c>
      <c r="J317">
        <f t="shared" si="15"/>
        <v>5.3425121452053505E-2</v>
      </c>
      <c r="K317" s="1">
        <v>0.56944399999999995</v>
      </c>
      <c r="L317" s="1">
        <v>0.55902799999999997</v>
      </c>
      <c r="M317" s="1">
        <v>0.60416700000000001</v>
      </c>
      <c r="N317" s="1">
        <v>0.53125</v>
      </c>
      <c r="O317" s="1">
        <v>0.64236099999999996</v>
      </c>
      <c r="P317" s="1">
        <v>0.68055600000000005</v>
      </c>
      <c r="Q317" s="1">
        <v>0.60069399999999995</v>
      </c>
      <c r="R317" s="1">
        <v>0.59821400000000002</v>
      </c>
      <c r="S317" s="1"/>
      <c r="T317" s="1">
        <v>0.60590299999999997</v>
      </c>
      <c r="U317" s="1">
        <v>0.61458299999999999</v>
      </c>
      <c r="V317" s="1">
        <v>0.63888900000000004</v>
      </c>
      <c r="W317" s="1">
        <v>0.63541700000000001</v>
      </c>
      <c r="X317" s="1">
        <v>0.58159700000000003</v>
      </c>
      <c r="Y317" s="1">
        <v>0.61979200000000001</v>
      </c>
      <c r="Z317" s="1">
        <v>0.61631899999999995</v>
      </c>
      <c r="AA317" s="1">
        <v>0.61607100000000004</v>
      </c>
    </row>
    <row r="318" spans="1:27" x14ac:dyDescent="0.3">
      <c r="A318" t="s">
        <v>8</v>
      </c>
      <c r="B318" s="1">
        <v>0.51215299999999997</v>
      </c>
      <c r="C318" s="1">
        <v>0.57638900000000004</v>
      </c>
      <c r="D318" s="1">
        <v>0.62673599999999996</v>
      </c>
      <c r="E318" s="1">
        <v>0.53298599999999996</v>
      </c>
      <c r="F318" s="1">
        <v>0.59027799999999997</v>
      </c>
      <c r="G318" s="1">
        <v>0.64409700000000003</v>
      </c>
      <c r="H318" s="1">
        <v>0.53298599999999996</v>
      </c>
      <c r="I318" s="1">
        <v>0.57366099999999998</v>
      </c>
      <c r="J318">
        <f t="shared" si="15"/>
        <v>4.634687829401244E-2</v>
      </c>
      <c r="K318" s="1">
        <v>0.47395799999999999</v>
      </c>
      <c r="L318" s="1">
        <v>0.47395799999999999</v>
      </c>
      <c r="M318" s="1">
        <v>0.546875</v>
      </c>
      <c r="N318" s="1">
        <v>0.47743099999999999</v>
      </c>
      <c r="O318" s="1">
        <v>0.60763900000000004</v>
      </c>
      <c r="P318" s="1">
        <v>0.60243100000000005</v>
      </c>
      <c r="Q318" s="1">
        <v>0.51041700000000001</v>
      </c>
      <c r="R318" s="1">
        <v>0.52753000000000005</v>
      </c>
      <c r="S318" s="1"/>
      <c r="T318" s="1">
        <v>0.546875</v>
      </c>
      <c r="U318" s="1">
        <v>0.62673599999999996</v>
      </c>
      <c r="V318" s="1">
        <v>0.71180600000000005</v>
      </c>
      <c r="W318" s="1">
        <v>0.59375</v>
      </c>
      <c r="X318" s="1">
        <v>0.63888900000000004</v>
      </c>
      <c r="Y318" s="1">
        <v>0.55381899999999995</v>
      </c>
      <c r="Z318" s="1">
        <v>0.69791700000000001</v>
      </c>
      <c r="AA318" s="1">
        <v>0.62425600000000003</v>
      </c>
    </row>
    <row r="320" spans="1:27" x14ac:dyDescent="0.3">
      <c r="A320" t="s">
        <v>65</v>
      </c>
    </row>
    <row r="321" spans="1:27" x14ac:dyDescent="0.3">
      <c r="A321" t="s">
        <v>169</v>
      </c>
      <c r="B321" t="s">
        <v>1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44</v>
      </c>
      <c r="K321" t="s">
        <v>45</v>
      </c>
      <c r="L321" t="s">
        <v>46</v>
      </c>
      <c r="M321" t="s">
        <v>47</v>
      </c>
      <c r="N321" t="s">
        <v>48</v>
      </c>
      <c r="O321" t="s">
        <v>49</v>
      </c>
    </row>
    <row r="322" spans="1:27" x14ac:dyDescent="0.3">
      <c r="A322" t="s">
        <v>6</v>
      </c>
      <c r="B322" s="1">
        <v>0.5</v>
      </c>
      <c r="C322" s="1">
        <v>0.58457300000000001</v>
      </c>
      <c r="D322" s="1">
        <v>0.51785700000000001</v>
      </c>
      <c r="E322" s="1">
        <v>0.58705399999999996</v>
      </c>
      <c r="F322" s="1">
        <v>0.58159700000000003</v>
      </c>
      <c r="G322" s="1">
        <v>0.57142899999999996</v>
      </c>
      <c r="H322" s="1">
        <v>0.71354200000000001</v>
      </c>
      <c r="I322" s="1">
        <v>0.54439499999999996</v>
      </c>
      <c r="K322" s="1">
        <v>0.55605199999999999</v>
      </c>
      <c r="L322" s="1">
        <v>0.41244999999999998</v>
      </c>
      <c r="M322" s="1">
        <v>0.44543700000000003</v>
      </c>
      <c r="N322" s="1">
        <v>0.41592299999999999</v>
      </c>
      <c r="O322" s="1">
        <v>0.61284700000000003</v>
      </c>
    </row>
    <row r="323" spans="1:27" x14ac:dyDescent="0.3">
      <c r="A323" t="s">
        <v>7</v>
      </c>
      <c r="B323" s="1">
        <v>0.41261599999999998</v>
      </c>
      <c r="C323" s="1">
        <v>0.58879000000000004</v>
      </c>
      <c r="D323" s="1">
        <v>0.52505000000000002</v>
      </c>
      <c r="E323" s="1">
        <v>0.61979200000000001</v>
      </c>
      <c r="F323" s="1">
        <v>0.62723200000000001</v>
      </c>
      <c r="G323" s="1">
        <v>0.60491099999999998</v>
      </c>
      <c r="H323" s="1">
        <v>0.79439499999999996</v>
      </c>
      <c r="I323" s="1">
        <v>0.77554599999999996</v>
      </c>
      <c r="K323" s="1">
        <v>0.59821400000000002</v>
      </c>
      <c r="L323" s="1">
        <v>0.42261900000000002</v>
      </c>
      <c r="M323" s="1">
        <v>0.44146800000000003</v>
      </c>
      <c r="N323" s="1">
        <v>0.42410700000000001</v>
      </c>
      <c r="O323" s="1">
        <v>0.61607100000000004</v>
      </c>
    </row>
    <row r="324" spans="1:27" x14ac:dyDescent="0.3">
      <c r="A324" t="s">
        <v>8</v>
      </c>
      <c r="B324" s="1">
        <v>0.56076400000000004</v>
      </c>
      <c r="C324" s="1">
        <v>0.62995999999999996</v>
      </c>
      <c r="D324" s="1">
        <v>0.539435</v>
      </c>
      <c r="E324" s="1">
        <v>0.55183499999999996</v>
      </c>
      <c r="F324" s="1">
        <v>0.57366099999999998</v>
      </c>
      <c r="G324" s="1">
        <v>0.69345199999999996</v>
      </c>
      <c r="H324" s="1">
        <v>0.76587300000000003</v>
      </c>
      <c r="I324" s="1">
        <v>0.56721200000000005</v>
      </c>
      <c r="K324" s="1">
        <v>0.52753000000000005</v>
      </c>
      <c r="L324" s="1">
        <v>0.54166700000000001</v>
      </c>
      <c r="M324" s="1">
        <v>0.60763900000000004</v>
      </c>
      <c r="N324" s="1">
        <v>0.56820400000000004</v>
      </c>
      <c r="O324" s="1">
        <v>0.62425600000000003</v>
      </c>
    </row>
    <row r="327" spans="1:27" x14ac:dyDescent="0.3">
      <c r="A327" s="2" t="s">
        <v>66</v>
      </c>
    </row>
    <row r="328" spans="1:27" x14ac:dyDescent="0.3">
      <c r="C328" t="s">
        <v>1</v>
      </c>
    </row>
    <row r="329" spans="1:27" x14ac:dyDescent="0.3">
      <c r="B329" t="s">
        <v>2</v>
      </c>
      <c r="C329" t="s">
        <v>3</v>
      </c>
      <c r="D329" t="s">
        <v>4</v>
      </c>
      <c r="E329" t="s">
        <v>5</v>
      </c>
    </row>
    <row r="330" spans="1:27" x14ac:dyDescent="0.3">
      <c r="A330" t="s">
        <v>6</v>
      </c>
      <c r="B330" s="1">
        <v>0.5</v>
      </c>
      <c r="C330" s="1">
        <v>0.5</v>
      </c>
      <c r="D330" s="1">
        <v>0.5</v>
      </c>
      <c r="E330" s="1">
        <v>0.5</v>
      </c>
    </row>
    <row r="331" spans="1:27" x14ac:dyDescent="0.3">
      <c r="A331" t="s">
        <v>7</v>
      </c>
      <c r="B331" s="1">
        <v>0.70250000000000001</v>
      </c>
      <c r="C331" s="1">
        <v>0.58833299999999999</v>
      </c>
      <c r="D331" s="1">
        <v>0.63083299999999998</v>
      </c>
      <c r="E331" s="1">
        <v>0.64055600000000001</v>
      </c>
    </row>
    <row r="332" spans="1:27" x14ac:dyDescent="0.3">
      <c r="A332" t="s">
        <v>8</v>
      </c>
      <c r="B332" s="1">
        <v>0.93333299999999997</v>
      </c>
      <c r="C332" s="1">
        <v>0.92722199999999999</v>
      </c>
      <c r="D332" s="1">
        <v>0.94472199999999995</v>
      </c>
      <c r="E332" s="1">
        <v>0.93509299999999995</v>
      </c>
    </row>
    <row r="334" spans="1:27" x14ac:dyDescent="0.3">
      <c r="A334" t="s">
        <v>9</v>
      </c>
    </row>
    <row r="335" spans="1:27" x14ac:dyDescent="0.3">
      <c r="B335" t="s">
        <v>10</v>
      </c>
      <c r="C335" t="s">
        <v>11</v>
      </c>
      <c r="D335" t="s">
        <v>12</v>
      </c>
      <c r="E335" t="s">
        <v>13</v>
      </c>
      <c r="F335" t="s">
        <v>14</v>
      </c>
      <c r="G335" t="s">
        <v>15</v>
      </c>
      <c r="H335" t="s">
        <v>16</v>
      </c>
      <c r="I335" t="s">
        <v>17</v>
      </c>
      <c r="K335" t="s">
        <v>18</v>
      </c>
      <c r="L335" t="s">
        <v>19</v>
      </c>
      <c r="M335" t="s">
        <v>20</v>
      </c>
      <c r="N335" t="s">
        <v>21</v>
      </c>
      <c r="O335" t="s">
        <v>22</v>
      </c>
      <c r="P335" t="s">
        <v>23</v>
      </c>
      <c r="Q335" t="s">
        <v>24</v>
      </c>
      <c r="R335" t="s">
        <v>25</v>
      </c>
      <c r="T335" t="s">
        <v>26</v>
      </c>
      <c r="U335" t="s">
        <v>27</v>
      </c>
      <c r="V335" t="s">
        <v>28</v>
      </c>
      <c r="W335" t="s">
        <v>29</v>
      </c>
      <c r="X335" t="s">
        <v>30</v>
      </c>
      <c r="Y335" t="s">
        <v>31</v>
      </c>
      <c r="Z335" t="s">
        <v>32</v>
      </c>
      <c r="AA335" t="s">
        <v>33</v>
      </c>
    </row>
    <row r="336" spans="1:27" x14ac:dyDescent="0.3">
      <c r="A336" t="s">
        <v>6</v>
      </c>
      <c r="B336" s="1">
        <v>0.88333300000000003</v>
      </c>
      <c r="C336" s="1">
        <v>0.91833299999999995</v>
      </c>
      <c r="D336" s="1">
        <v>0.89249999999999996</v>
      </c>
      <c r="E336" s="1">
        <v>0.87777799999999995</v>
      </c>
      <c r="F336" s="1">
        <v>0.89694399999999996</v>
      </c>
      <c r="G336" s="1">
        <v>0.89</v>
      </c>
      <c r="H336" s="1">
        <v>0.87916700000000003</v>
      </c>
      <c r="I336" s="1">
        <v>0.89115100000000003</v>
      </c>
      <c r="J336">
        <f t="shared" si="15"/>
        <v>1.475016147256247E-2</v>
      </c>
      <c r="K336" s="1">
        <v>0.72722200000000004</v>
      </c>
      <c r="L336" s="1">
        <v>0.77249999999999996</v>
      </c>
      <c r="M336" s="1">
        <v>0.76083299999999998</v>
      </c>
      <c r="N336" s="1">
        <v>0.718333</v>
      </c>
      <c r="O336" s="1">
        <v>0.73083299999999995</v>
      </c>
      <c r="P336" s="1">
        <v>0.73777800000000004</v>
      </c>
      <c r="Q336" s="1">
        <v>0.72666699999999995</v>
      </c>
      <c r="R336" s="1">
        <v>0.73916700000000002</v>
      </c>
      <c r="S336" s="1"/>
      <c r="T336" s="1">
        <v>0.71138900000000005</v>
      </c>
      <c r="U336" s="1">
        <v>0.71527799999999997</v>
      </c>
      <c r="V336" s="1">
        <v>0.72194400000000003</v>
      </c>
      <c r="W336" s="1">
        <v>0.714167</v>
      </c>
      <c r="X336" s="1">
        <v>0.72722200000000004</v>
      </c>
      <c r="Y336" s="1">
        <v>0.74</v>
      </c>
      <c r="Z336" s="1">
        <v>0.72194400000000003</v>
      </c>
      <c r="AA336" s="1">
        <v>0.72170599999999996</v>
      </c>
    </row>
    <row r="337" spans="1:27" x14ac:dyDescent="0.3">
      <c r="A337" t="s">
        <v>7</v>
      </c>
      <c r="B337" s="1">
        <v>0.87888900000000003</v>
      </c>
      <c r="C337" s="1">
        <v>0.92111100000000001</v>
      </c>
      <c r="D337" s="1">
        <v>0.90222199999999997</v>
      </c>
      <c r="E337" s="1">
        <v>0.86166699999999996</v>
      </c>
      <c r="F337" s="1">
        <v>0.87861100000000003</v>
      </c>
      <c r="G337" s="1">
        <v>0.88388900000000004</v>
      </c>
      <c r="H337" s="1">
        <v>0.87277800000000005</v>
      </c>
      <c r="I337" s="1">
        <v>0.88559500000000002</v>
      </c>
      <c r="J337">
        <f t="shared" si="15"/>
        <v>2.1535344000038634E-2</v>
      </c>
      <c r="K337" s="1">
        <v>0.82250000000000001</v>
      </c>
      <c r="L337" s="1">
        <v>0.89027800000000001</v>
      </c>
      <c r="M337" s="1">
        <v>0.86499999999999999</v>
      </c>
      <c r="N337" s="1">
        <v>0.78861099999999995</v>
      </c>
      <c r="O337" s="1">
        <v>0.82250000000000001</v>
      </c>
      <c r="P337" s="1">
        <v>0.83111100000000004</v>
      </c>
      <c r="Q337" s="1">
        <v>0.81555599999999995</v>
      </c>
      <c r="R337" s="1">
        <v>0.83365100000000003</v>
      </c>
      <c r="S337" s="1"/>
      <c r="T337" s="1">
        <v>0.70361099999999999</v>
      </c>
      <c r="U337" s="1">
        <v>0.72138899999999995</v>
      </c>
      <c r="V337" s="1">
        <v>0.72416700000000001</v>
      </c>
      <c r="W337" s="1">
        <v>0.70861099999999999</v>
      </c>
      <c r="X337" s="1">
        <v>0.72888900000000001</v>
      </c>
      <c r="Y337" s="1">
        <v>0.73416700000000001</v>
      </c>
      <c r="Z337" s="1">
        <v>0.71472199999999997</v>
      </c>
      <c r="AA337" s="1">
        <v>0.71936500000000003</v>
      </c>
    </row>
    <row r="338" spans="1:27" x14ac:dyDescent="0.3">
      <c r="A338" t="s">
        <v>8</v>
      </c>
      <c r="B338" s="1">
        <v>0.84555599999999997</v>
      </c>
      <c r="C338" s="1">
        <v>0.85083299999999995</v>
      </c>
      <c r="D338" s="1">
        <v>0.85638899999999996</v>
      </c>
      <c r="E338" s="1">
        <v>0.82138900000000004</v>
      </c>
      <c r="F338" s="1">
        <v>0.84083300000000005</v>
      </c>
      <c r="G338" s="1">
        <v>0.86388900000000002</v>
      </c>
      <c r="H338" s="1">
        <v>0.79638900000000001</v>
      </c>
      <c r="I338" s="1">
        <v>0.83932499999999999</v>
      </c>
      <c r="J338">
        <f t="shared" si="15"/>
        <v>2.5250797405230577E-2</v>
      </c>
      <c r="K338" s="1">
        <v>0.73694400000000004</v>
      </c>
      <c r="L338" s="1">
        <v>0.83055599999999996</v>
      </c>
      <c r="M338" s="1">
        <v>0.80833299999999997</v>
      </c>
      <c r="N338" s="1">
        <v>0.75305599999999995</v>
      </c>
      <c r="O338" s="1">
        <v>0.76249999999999996</v>
      </c>
      <c r="P338" s="1">
        <v>0.76027800000000001</v>
      </c>
      <c r="Q338" s="1">
        <v>0.76138899999999998</v>
      </c>
      <c r="R338" s="1">
        <v>0.77329400000000004</v>
      </c>
      <c r="S338" s="1"/>
      <c r="T338" s="1">
        <v>0.69777800000000001</v>
      </c>
      <c r="U338" s="1">
        <v>0.60166699999999995</v>
      </c>
      <c r="V338" s="1">
        <v>0.63666699999999998</v>
      </c>
      <c r="W338" s="1">
        <v>0.60138899999999995</v>
      </c>
      <c r="X338" s="1">
        <v>0.61750000000000005</v>
      </c>
      <c r="Y338" s="1">
        <v>0.66833299999999995</v>
      </c>
      <c r="Z338" s="1">
        <v>0.60833300000000001</v>
      </c>
      <c r="AA338" s="1">
        <v>0.63309499999999996</v>
      </c>
    </row>
    <row r="340" spans="1:27" x14ac:dyDescent="0.3">
      <c r="A340" t="s">
        <v>34</v>
      </c>
    </row>
    <row r="341" spans="1:27" x14ac:dyDescent="0.3">
      <c r="A341" t="s">
        <v>6</v>
      </c>
      <c r="B341" s="1">
        <v>0.92416699999999996</v>
      </c>
      <c r="C341" s="1">
        <v>0.94805600000000001</v>
      </c>
      <c r="D341" s="1">
        <v>0.92749999999999999</v>
      </c>
      <c r="E341" s="1">
        <v>0.91472200000000004</v>
      </c>
      <c r="F341" s="1">
        <v>0.93472200000000005</v>
      </c>
      <c r="G341" s="1">
        <v>0.93</v>
      </c>
      <c r="H341" s="1">
        <v>0.92638900000000002</v>
      </c>
      <c r="I341" s="1">
        <v>0.929365</v>
      </c>
      <c r="J341">
        <f t="shared" si="15"/>
        <v>1.0960852808974306E-2</v>
      </c>
      <c r="K341" s="1">
        <v>0.72111099999999995</v>
      </c>
      <c r="L341" s="1">
        <v>0.76305599999999996</v>
      </c>
      <c r="M341" s="1">
        <v>0.74361100000000002</v>
      </c>
      <c r="N341" s="1">
        <v>0.70833299999999999</v>
      </c>
      <c r="O341" s="1">
        <v>0.71694400000000003</v>
      </c>
      <c r="P341" s="1">
        <v>0.72833300000000001</v>
      </c>
      <c r="Q341" s="1">
        <v>0.72499999999999998</v>
      </c>
      <c r="R341" s="1">
        <v>0.72948400000000002</v>
      </c>
      <c r="S341" s="1"/>
      <c r="T341" s="1">
        <v>0.69888899999999998</v>
      </c>
      <c r="U341" s="1">
        <v>0.69888899999999998</v>
      </c>
      <c r="V341" s="1">
        <v>0.7</v>
      </c>
      <c r="W341" s="1">
        <v>0.70250000000000001</v>
      </c>
      <c r="X341" s="1">
        <v>0.69388899999999998</v>
      </c>
      <c r="Y341" s="1">
        <v>0.70944399999999996</v>
      </c>
      <c r="Z341" s="1">
        <v>0.71277800000000002</v>
      </c>
      <c r="AA341" s="1">
        <v>0.70234099999999999</v>
      </c>
    </row>
    <row r="342" spans="1:27" x14ac:dyDescent="0.3">
      <c r="A342" t="s">
        <v>7</v>
      </c>
      <c r="B342" s="1">
        <v>0.93111100000000002</v>
      </c>
      <c r="C342" s="1">
        <v>0.96194400000000002</v>
      </c>
      <c r="D342" s="1">
        <v>0.936944</v>
      </c>
      <c r="E342" s="1">
        <v>0.93361099999999997</v>
      </c>
      <c r="F342" s="1">
        <v>0.95027799999999996</v>
      </c>
      <c r="G342" s="1">
        <v>0.93944399999999995</v>
      </c>
      <c r="H342" s="1">
        <v>0.93444400000000005</v>
      </c>
      <c r="I342" s="1">
        <v>0.94111100000000003</v>
      </c>
      <c r="J342">
        <f t="shared" si="15"/>
        <v>1.1155501884720384E-2</v>
      </c>
      <c r="K342" s="1">
        <v>0.76111099999999998</v>
      </c>
      <c r="L342" s="1">
        <v>0.87833300000000003</v>
      </c>
      <c r="M342" s="1">
        <v>0.83111100000000004</v>
      </c>
      <c r="N342" s="1">
        <v>0.74416700000000002</v>
      </c>
      <c r="O342" s="1">
        <v>0.81944399999999995</v>
      </c>
      <c r="P342" s="1">
        <v>0.78249999999999997</v>
      </c>
      <c r="Q342" s="1">
        <v>0.78500000000000003</v>
      </c>
      <c r="R342" s="1">
        <v>0.800238</v>
      </c>
      <c r="S342" s="1"/>
      <c r="T342" s="1">
        <v>0.70083300000000004</v>
      </c>
      <c r="U342" s="1">
        <v>0.70194400000000001</v>
      </c>
      <c r="V342" s="1">
        <v>0.70944399999999996</v>
      </c>
      <c r="W342" s="1">
        <v>0.70305600000000001</v>
      </c>
      <c r="X342" s="1">
        <v>0.70083300000000004</v>
      </c>
      <c r="Y342" s="1">
        <v>0.71750000000000003</v>
      </c>
      <c r="Z342" s="1">
        <v>0.72</v>
      </c>
      <c r="AA342" s="1">
        <v>0.70765900000000004</v>
      </c>
    </row>
    <row r="343" spans="1:27" x14ac:dyDescent="0.3">
      <c r="A343" t="s">
        <v>8</v>
      </c>
      <c r="B343" s="1">
        <v>0.92805599999999999</v>
      </c>
      <c r="C343" s="1">
        <v>0.94638900000000004</v>
      </c>
      <c r="D343" s="1">
        <v>0.9375</v>
      </c>
      <c r="E343" s="1">
        <v>0.93416699999999997</v>
      </c>
      <c r="F343" s="1">
        <v>0.906111</v>
      </c>
      <c r="G343" s="1">
        <v>0.92972200000000005</v>
      </c>
      <c r="H343" s="1">
        <v>0.911389</v>
      </c>
      <c r="I343" s="1">
        <v>0.92761899999999997</v>
      </c>
      <c r="J343">
        <f t="shared" si="15"/>
        <v>1.5641107731444948E-2</v>
      </c>
      <c r="K343" s="1">
        <v>0.77944400000000003</v>
      </c>
      <c r="L343" s="1">
        <v>0.83361099999999999</v>
      </c>
      <c r="M343" s="1">
        <v>0.79722199999999999</v>
      </c>
      <c r="N343" s="1">
        <v>0.75111099999999997</v>
      </c>
      <c r="O343" s="1">
        <v>0.77833300000000005</v>
      </c>
      <c r="P343" s="1">
        <v>0.79444400000000004</v>
      </c>
      <c r="Q343" s="1">
        <v>0.78388899999999995</v>
      </c>
      <c r="R343" s="1">
        <v>0.78829400000000005</v>
      </c>
      <c r="S343" s="1"/>
      <c r="T343" s="1">
        <v>0.70472199999999996</v>
      </c>
      <c r="U343" s="1">
        <v>0.59444399999999997</v>
      </c>
      <c r="V343" s="1">
        <v>0.58472199999999996</v>
      </c>
      <c r="W343" s="1">
        <v>0.58027799999999996</v>
      </c>
      <c r="X343" s="1">
        <v>0.58111100000000004</v>
      </c>
      <c r="Y343" s="1">
        <v>0.64027800000000001</v>
      </c>
      <c r="Z343" s="1">
        <v>0.68916699999999997</v>
      </c>
      <c r="AA343" s="1">
        <v>0.62495999999999996</v>
      </c>
    </row>
    <row r="345" spans="1:27" x14ac:dyDescent="0.3">
      <c r="A345" t="s">
        <v>35</v>
      </c>
    </row>
    <row r="346" spans="1:27" x14ac:dyDescent="0.3">
      <c r="A346" t="s">
        <v>6</v>
      </c>
      <c r="B346" s="1">
        <v>0.95777800000000002</v>
      </c>
      <c r="C346" s="1">
        <v>0.96722200000000003</v>
      </c>
      <c r="D346" s="1">
        <v>0.95472199999999996</v>
      </c>
      <c r="E346" s="1">
        <v>0.95111100000000004</v>
      </c>
      <c r="F346" s="1">
        <v>0.96444399999999997</v>
      </c>
      <c r="G346" s="1">
        <v>0.95888899999999999</v>
      </c>
      <c r="H346" s="1">
        <v>0.95861099999999999</v>
      </c>
      <c r="I346" s="1">
        <v>0.95896800000000004</v>
      </c>
      <c r="J346">
        <f t="shared" si="15"/>
        <v>5.9627734067294533E-3</v>
      </c>
      <c r="K346" s="1">
        <v>0.60750000000000004</v>
      </c>
      <c r="L346" s="1">
        <v>0.65777799999999997</v>
      </c>
      <c r="M346" s="1">
        <v>0.63944400000000001</v>
      </c>
      <c r="N346" s="1">
        <v>0.61361100000000002</v>
      </c>
      <c r="O346" s="1">
        <v>0.62083299999999997</v>
      </c>
      <c r="P346" s="1">
        <v>0.62333300000000003</v>
      </c>
      <c r="Q346" s="1">
        <v>0.61555599999999999</v>
      </c>
      <c r="R346" s="1">
        <v>0.62543700000000002</v>
      </c>
      <c r="S346" s="1"/>
      <c r="T346" s="1">
        <v>0.72694400000000003</v>
      </c>
      <c r="U346" s="1">
        <v>0.72750000000000004</v>
      </c>
      <c r="V346" s="1">
        <v>0.72194400000000003</v>
      </c>
      <c r="W346" s="1">
        <v>0.73888900000000002</v>
      </c>
      <c r="X346" s="1">
        <v>0.72083299999999995</v>
      </c>
      <c r="Y346" s="1">
        <v>0.73861100000000002</v>
      </c>
      <c r="Z346" s="1">
        <v>0.73361100000000001</v>
      </c>
      <c r="AA346" s="1">
        <v>0.72976200000000002</v>
      </c>
    </row>
    <row r="347" spans="1:27" x14ac:dyDescent="0.3">
      <c r="A347" t="s">
        <v>7</v>
      </c>
      <c r="B347" s="1">
        <v>0.96222200000000002</v>
      </c>
      <c r="C347" s="1">
        <v>0.97277800000000003</v>
      </c>
      <c r="D347" s="1">
        <v>0.96305600000000002</v>
      </c>
      <c r="E347" s="1">
        <v>0.95750000000000002</v>
      </c>
      <c r="F347" s="1">
        <v>0.96777800000000003</v>
      </c>
      <c r="G347" s="1">
        <v>0.96750000000000003</v>
      </c>
      <c r="H347" s="1">
        <v>0.96333299999999999</v>
      </c>
      <c r="I347" s="1">
        <v>0.96488099999999999</v>
      </c>
      <c r="J347">
        <f t="shared" si="15"/>
        <v>5.2276589183559725E-3</v>
      </c>
      <c r="K347" s="1">
        <v>0.85972199999999999</v>
      </c>
      <c r="L347" s="1">
        <v>0.84944399999999998</v>
      </c>
      <c r="M347" s="1">
        <v>0.86250000000000004</v>
      </c>
      <c r="N347" s="1">
        <v>0.84722200000000003</v>
      </c>
      <c r="O347" s="1">
        <v>0.85583299999999995</v>
      </c>
      <c r="P347" s="1">
        <v>0.88611099999999998</v>
      </c>
      <c r="Q347" s="1">
        <v>0.78388899999999995</v>
      </c>
      <c r="R347" s="1">
        <v>0.84924599999999995</v>
      </c>
      <c r="S347" s="1"/>
      <c r="T347" s="1">
        <v>0.73888900000000002</v>
      </c>
      <c r="U347" s="1">
        <v>0.73250000000000004</v>
      </c>
      <c r="V347" s="1">
        <v>0.73305600000000004</v>
      </c>
      <c r="W347" s="1">
        <v>0.74194400000000005</v>
      </c>
      <c r="X347" s="1">
        <v>0.73444399999999999</v>
      </c>
      <c r="Y347" s="1">
        <v>0.74888900000000003</v>
      </c>
      <c r="Z347" s="1">
        <v>0.73722200000000004</v>
      </c>
      <c r="AA347" s="1">
        <v>0.73813499999999999</v>
      </c>
    </row>
    <row r="348" spans="1:27" x14ac:dyDescent="0.3">
      <c r="A348" t="s">
        <v>8</v>
      </c>
      <c r="B348" s="1">
        <v>0.96444399999999997</v>
      </c>
      <c r="C348" s="1">
        <v>0.98611099999999996</v>
      </c>
      <c r="D348" s="1">
        <v>0.963889</v>
      </c>
      <c r="E348" s="1">
        <v>0.95111100000000004</v>
      </c>
      <c r="F348" s="1">
        <v>0.96611100000000005</v>
      </c>
      <c r="G348" s="1">
        <v>0.94138900000000003</v>
      </c>
      <c r="H348" s="1">
        <v>0.96305600000000002</v>
      </c>
      <c r="I348" s="1">
        <v>0.96230199999999999</v>
      </c>
      <c r="J348">
        <f t="shared" si="15"/>
        <v>1.5141263220088318E-2</v>
      </c>
      <c r="K348" s="1">
        <v>0.93083300000000002</v>
      </c>
      <c r="L348" s="1">
        <v>0.93666700000000003</v>
      </c>
      <c r="M348" s="1">
        <v>0.92861099999999996</v>
      </c>
      <c r="N348" s="1">
        <v>0.91444400000000003</v>
      </c>
      <c r="O348" s="1">
        <v>0.94611100000000004</v>
      </c>
      <c r="P348" s="1">
        <v>0.95111100000000004</v>
      </c>
      <c r="Q348" s="1">
        <v>0.92305599999999999</v>
      </c>
      <c r="R348" s="1">
        <v>0.93297600000000003</v>
      </c>
      <c r="S348" s="1"/>
      <c r="T348" s="1">
        <v>0.71944399999999997</v>
      </c>
      <c r="U348" s="1">
        <v>0.69972199999999996</v>
      </c>
      <c r="V348" s="1">
        <v>0.68361099999999997</v>
      </c>
      <c r="W348" s="1">
        <v>0.73333300000000001</v>
      </c>
      <c r="X348" s="1">
        <v>0.71250000000000002</v>
      </c>
      <c r="Y348" s="1">
        <v>0.70722200000000002</v>
      </c>
      <c r="Z348" s="1">
        <v>0.70611100000000004</v>
      </c>
      <c r="AA348" s="1">
        <v>0.70884899999999995</v>
      </c>
    </row>
    <row r="350" spans="1:27" x14ac:dyDescent="0.3">
      <c r="A350" t="s">
        <v>36</v>
      </c>
    </row>
    <row r="351" spans="1:27" x14ac:dyDescent="0.3">
      <c r="A351" t="s">
        <v>6</v>
      </c>
      <c r="B351" s="1">
        <v>0.94833299999999998</v>
      </c>
      <c r="C351" s="1">
        <v>0.96027799999999996</v>
      </c>
      <c r="D351" s="1">
        <v>0.94888899999999998</v>
      </c>
      <c r="E351" s="1">
        <v>0.94555599999999995</v>
      </c>
      <c r="F351" s="1">
        <v>0.95888899999999999</v>
      </c>
      <c r="G351" s="1">
        <v>0.95138900000000004</v>
      </c>
      <c r="H351" s="1">
        <v>0.95083300000000004</v>
      </c>
      <c r="I351" s="1">
        <v>0.95202399999999998</v>
      </c>
      <c r="J351">
        <f t="shared" si="15"/>
        <v>5.7701359776005266E-3</v>
      </c>
      <c r="K351" s="1">
        <v>0.95194400000000001</v>
      </c>
      <c r="L351" s="1">
        <v>0.96027799999999996</v>
      </c>
      <c r="M351" s="1">
        <v>0.94722200000000001</v>
      </c>
      <c r="N351" s="1">
        <v>0.94333299999999998</v>
      </c>
      <c r="O351" s="1">
        <v>0.96138900000000005</v>
      </c>
      <c r="P351" s="1">
        <v>0.95305600000000001</v>
      </c>
      <c r="Q351" s="1">
        <v>0.95222200000000001</v>
      </c>
      <c r="R351" s="1">
        <v>0.95277800000000001</v>
      </c>
      <c r="S351" s="1"/>
      <c r="T351" s="1">
        <v>0.62749999999999995</v>
      </c>
      <c r="U351" s="1">
        <v>0.58277800000000002</v>
      </c>
      <c r="V351" s="1">
        <v>0.60499999999999998</v>
      </c>
      <c r="W351" s="1">
        <v>0.63472200000000001</v>
      </c>
      <c r="X351" s="1">
        <v>0.59944399999999998</v>
      </c>
      <c r="Y351" s="1">
        <v>0.60388900000000001</v>
      </c>
      <c r="Z351" s="1">
        <v>0.58972199999999997</v>
      </c>
      <c r="AA351" s="1">
        <v>0.606151</v>
      </c>
    </row>
    <row r="352" spans="1:27" x14ac:dyDescent="0.3">
      <c r="A352" t="s">
        <v>7</v>
      </c>
      <c r="B352" s="1">
        <v>0.95750000000000002</v>
      </c>
      <c r="C352" s="1">
        <v>0.96694400000000003</v>
      </c>
      <c r="D352" s="1">
        <v>0.95527799999999996</v>
      </c>
      <c r="E352" s="1">
        <v>0.95166700000000004</v>
      </c>
      <c r="F352" s="1">
        <v>0.96694400000000003</v>
      </c>
      <c r="G352" s="1">
        <v>0.95777800000000002</v>
      </c>
      <c r="H352" s="1">
        <v>0.95666700000000005</v>
      </c>
      <c r="I352" s="1">
        <v>0.95896800000000004</v>
      </c>
      <c r="J352">
        <f t="shared" si="15"/>
        <v>6.3325256256883834E-3</v>
      </c>
      <c r="K352" s="1">
        <v>0.95194400000000001</v>
      </c>
      <c r="L352" s="1">
        <v>0.96138900000000005</v>
      </c>
      <c r="M352" s="1">
        <v>0.95055599999999996</v>
      </c>
      <c r="N352" s="1">
        <v>0.94472199999999995</v>
      </c>
      <c r="O352" s="1">
        <v>0.96250000000000002</v>
      </c>
      <c r="P352" s="1">
        <v>0.95333299999999999</v>
      </c>
      <c r="Q352" s="1">
        <v>0.95222200000000001</v>
      </c>
      <c r="R352" s="1">
        <v>0.95381000000000005</v>
      </c>
      <c r="S352" s="1"/>
      <c r="T352" s="1">
        <v>0.62388900000000003</v>
      </c>
      <c r="U352" s="1">
        <v>0.57972199999999996</v>
      </c>
      <c r="V352" s="1">
        <v>0.60444399999999998</v>
      </c>
      <c r="W352" s="1">
        <v>0.63472200000000001</v>
      </c>
      <c r="X352" s="1">
        <v>0.59722200000000003</v>
      </c>
      <c r="Y352" s="1">
        <v>0.60222200000000004</v>
      </c>
      <c r="Z352" s="1">
        <v>0.59</v>
      </c>
      <c r="AA352" s="1">
        <v>0.604603</v>
      </c>
    </row>
    <row r="353" spans="1:27" x14ac:dyDescent="0.3">
      <c r="A353" t="s">
        <v>8</v>
      </c>
      <c r="B353" s="1">
        <v>0.93138900000000002</v>
      </c>
      <c r="C353" s="1">
        <v>0.963611</v>
      </c>
      <c r="D353" s="1">
        <v>0.94138900000000003</v>
      </c>
      <c r="E353" s="1">
        <v>0.95361099999999999</v>
      </c>
      <c r="F353" s="1">
        <v>0.95666700000000005</v>
      </c>
      <c r="G353" s="1">
        <v>0.95972199999999996</v>
      </c>
      <c r="H353" s="1">
        <v>0.95138900000000004</v>
      </c>
      <c r="I353" s="1">
        <v>0.95111100000000004</v>
      </c>
      <c r="J353">
        <f t="shared" si="15"/>
        <v>7.7107747578739711E-3</v>
      </c>
      <c r="K353" s="1">
        <v>0.94916699999999998</v>
      </c>
      <c r="L353" s="1">
        <v>0.94888899999999998</v>
      </c>
      <c r="M353" s="1">
        <v>0.92944400000000005</v>
      </c>
      <c r="N353" s="1">
        <v>0.9375</v>
      </c>
      <c r="O353" s="1">
        <v>0.94750000000000001</v>
      </c>
      <c r="P353" s="1">
        <v>0.96027799999999996</v>
      </c>
      <c r="Q353" s="1">
        <v>0.94805600000000001</v>
      </c>
      <c r="R353" s="1">
        <v>0.94583300000000003</v>
      </c>
      <c r="S353" s="1"/>
      <c r="T353" s="1">
        <v>0.73499999999999999</v>
      </c>
      <c r="U353" s="1">
        <v>0.79166700000000001</v>
      </c>
      <c r="V353" s="1">
        <v>0.80361099999999996</v>
      </c>
      <c r="W353" s="1">
        <v>0.80500000000000005</v>
      </c>
      <c r="X353" s="1">
        <v>0.81583300000000003</v>
      </c>
      <c r="Y353" s="1">
        <v>0.73666699999999996</v>
      </c>
      <c r="Z353" s="1">
        <v>0.74916700000000003</v>
      </c>
      <c r="AA353" s="1">
        <v>0.77670600000000001</v>
      </c>
    </row>
    <row r="355" spans="1:27" x14ac:dyDescent="0.3">
      <c r="A355" t="s">
        <v>67</v>
      </c>
    </row>
    <row r="356" spans="1:27" x14ac:dyDescent="0.3">
      <c r="A356" t="s">
        <v>169</v>
      </c>
      <c r="B356" t="s">
        <v>1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44</v>
      </c>
      <c r="K356" t="s">
        <v>45</v>
      </c>
      <c r="L356" t="s">
        <v>46</v>
      </c>
      <c r="M356" t="s">
        <v>47</v>
      </c>
      <c r="N356" t="s">
        <v>48</v>
      </c>
      <c r="O356" t="s">
        <v>49</v>
      </c>
    </row>
    <row r="357" spans="1:27" x14ac:dyDescent="0.3">
      <c r="A357" t="s">
        <v>6</v>
      </c>
      <c r="B357" s="1">
        <v>0.5</v>
      </c>
      <c r="C357" s="1">
        <v>0.89115100000000003</v>
      </c>
      <c r="D357" s="1">
        <v>0.929365</v>
      </c>
      <c r="E357" s="1">
        <v>0.95896800000000004</v>
      </c>
      <c r="F357" s="1">
        <v>0.95202399999999998</v>
      </c>
      <c r="G357" s="1">
        <v>0.73916700000000002</v>
      </c>
      <c r="H357" s="1">
        <v>0.72948400000000002</v>
      </c>
      <c r="I357" s="1">
        <v>0.62543700000000002</v>
      </c>
      <c r="K357" s="1">
        <v>0.95277800000000001</v>
      </c>
      <c r="L357" s="1">
        <v>0.72170599999999996</v>
      </c>
      <c r="M357" s="1">
        <v>0.70234099999999999</v>
      </c>
      <c r="N357" s="1">
        <v>0.72976200000000002</v>
      </c>
      <c r="O357" s="1">
        <v>0.606151</v>
      </c>
    </row>
    <row r="358" spans="1:27" x14ac:dyDescent="0.3">
      <c r="A358" t="s">
        <v>7</v>
      </c>
      <c r="B358" s="1">
        <v>0.64055600000000001</v>
      </c>
      <c r="C358" s="1">
        <v>0.88559500000000002</v>
      </c>
      <c r="D358" s="1">
        <v>0.94111100000000003</v>
      </c>
      <c r="E358" s="1">
        <v>0.96488099999999999</v>
      </c>
      <c r="F358" s="1">
        <v>0.95896800000000004</v>
      </c>
      <c r="G358" s="1">
        <v>0.83365100000000003</v>
      </c>
      <c r="H358" s="1">
        <v>0.800238</v>
      </c>
      <c r="I358" s="1">
        <v>0.84924599999999995</v>
      </c>
      <c r="K358" s="1">
        <v>0.95381000000000005</v>
      </c>
      <c r="L358" s="1">
        <v>0.71936500000000003</v>
      </c>
      <c r="M358" s="1">
        <v>0.70765900000000004</v>
      </c>
      <c r="N358" s="1">
        <v>0.73813499999999999</v>
      </c>
      <c r="O358" s="1">
        <v>0.604603</v>
      </c>
    </row>
    <row r="359" spans="1:27" x14ac:dyDescent="0.3">
      <c r="A359" t="s">
        <v>8</v>
      </c>
      <c r="B359" s="1">
        <v>0.93509299999999995</v>
      </c>
      <c r="C359" s="1">
        <v>0.83932499999999999</v>
      </c>
      <c r="D359" s="1">
        <v>0.92761899999999997</v>
      </c>
      <c r="E359" s="1">
        <v>0.96230199999999999</v>
      </c>
      <c r="F359" s="1">
        <v>0.95111100000000004</v>
      </c>
      <c r="G359" s="1">
        <v>0.77329400000000004</v>
      </c>
      <c r="H359" s="1">
        <v>0.78829400000000005</v>
      </c>
      <c r="I359" s="1">
        <v>0.93297600000000003</v>
      </c>
      <c r="K359" s="1">
        <v>0.94583300000000003</v>
      </c>
      <c r="L359" s="1">
        <v>0.63309499999999996</v>
      </c>
      <c r="M359" s="1">
        <v>0.62495999999999996</v>
      </c>
      <c r="N359" s="1">
        <v>0.70884899999999995</v>
      </c>
      <c r="O359" s="1">
        <v>0.77670600000000001</v>
      </c>
    </row>
    <row r="362" spans="1:27" x14ac:dyDescent="0.3">
      <c r="A362" t="s">
        <v>0</v>
      </c>
      <c r="J362">
        <f>MIN(J55:J353)</f>
        <v>2.8963678403590815E-4</v>
      </c>
    </row>
    <row r="363" spans="1:27" x14ac:dyDescent="0.3">
      <c r="A363" s="3" t="s">
        <v>169</v>
      </c>
      <c r="B363" s="3" t="s">
        <v>170</v>
      </c>
      <c r="C363" s="3" t="s">
        <v>9</v>
      </c>
      <c r="D363" s="3" t="s">
        <v>34</v>
      </c>
      <c r="E363" s="3" t="s">
        <v>35</v>
      </c>
      <c r="F363" s="3" t="s">
        <v>36</v>
      </c>
      <c r="J363">
        <f>MAX(J56:J354)</f>
        <v>0.12292038181305341</v>
      </c>
    </row>
    <row r="364" spans="1:27" x14ac:dyDescent="0.3">
      <c r="A364" s="4" t="s">
        <v>6</v>
      </c>
      <c r="B364" s="4" t="s">
        <v>171</v>
      </c>
      <c r="C364" s="5">
        <v>0.1191</v>
      </c>
      <c r="D364" s="5">
        <v>9.6000000000000002E-2</v>
      </c>
      <c r="E364" s="5">
        <v>0.14630000000000001</v>
      </c>
      <c r="F364" s="5" t="s">
        <v>172</v>
      </c>
    </row>
    <row r="365" spans="1:27" x14ac:dyDescent="0.3">
      <c r="A365" s="4" t="s">
        <v>6</v>
      </c>
      <c r="B365" s="4" t="s">
        <v>173</v>
      </c>
      <c r="C365" s="5">
        <v>0.18149999999999999</v>
      </c>
      <c r="D365" s="5">
        <v>0.14580000000000001</v>
      </c>
      <c r="E365" s="5">
        <v>0.18210000000000001</v>
      </c>
      <c r="F365" s="5">
        <v>5.1400000000000001E-2</v>
      </c>
      <c r="J365">
        <f>AVERAGE(J58:J356)</f>
        <v>2.3840074993492749E-2</v>
      </c>
    </row>
    <row r="366" spans="1:27" x14ac:dyDescent="0.3">
      <c r="A366" s="4" t="s">
        <v>6</v>
      </c>
      <c r="B366" s="4" t="s">
        <v>174</v>
      </c>
      <c r="C366" s="5">
        <v>0.1116</v>
      </c>
      <c r="D366" s="5">
        <v>0.12809999999999999</v>
      </c>
      <c r="E366" s="5">
        <v>0.12839999999999999</v>
      </c>
      <c r="F366" s="5">
        <v>7.9000000000000008E-3</v>
      </c>
    </row>
    <row r="367" spans="1:27" ht="28.8" x14ac:dyDescent="0.3">
      <c r="A367" s="4" t="s">
        <v>6</v>
      </c>
      <c r="B367" s="4" t="s">
        <v>175</v>
      </c>
      <c r="C367" s="5">
        <v>0.17399999999999999</v>
      </c>
      <c r="D367" s="5">
        <v>0.1779</v>
      </c>
      <c r="E367" s="5">
        <v>0.16420000000000001</v>
      </c>
      <c r="F367" s="5">
        <v>4.3700000000000003E-2</v>
      </c>
    </row>
    <row r="368" spans="1:27" x14ac:dyDescent="0.3">
      <c r="A368" s="4" t="s">
        <v>7</v>
      </c>
      <c r="B368" s="4" t="s">
        <v>171</v>
      </c>
      <c r="C368" s="5">
        <v>2.4400000000000002E-2</v>
      </c>
      <c r="D368" s="5">
        <v>6.6299999999999998E-2</v>
      </c>
      <c r="E368" s="5">
        <v>0.1149</v>
      </c>
      <c r="F368" s="5">
        <v>2.1700000000000001E-2</v>
      </c>
    </row>
    <row r="369" spans="1:13" x14ac:dyDescent="0.3">
      <c r="A369" s="4" t="s">
        <v>7</v>
      </c>
      <c r="B369" s="4" t="s">
        <v>173</v>
      </c>
      <c r="C369" s="5">
        <v>8.0299999999999996E-2</v>
      </c>
      <c r="D369" s="5">
        <v>2.4400000000000002E-2</v>
      </c>
      <c r="E369" s="5">
        <v>0.1149</v>
      </c>
      <c r="F369" s="5">
        <v>0.16750000000000001</v>
      </c>
    </row>
    <row r="370" spans="1:13" x14ac:dyDescent="0.3">
      <c r="A370" s="4" t="s">
        <v>7</v>
      </c>
      <c r="B370" s="4" t="s">
        <v>174</v>
      </c>
      <c r="C370" s="5">
        <v>8.3299999999999999E-2</v>
      </c>
      <c r="D370" s="5">
        <v>7.9299999999999995E-2</v>
      </c>
      <c r="E370" s="5">
        <v>0.12659999999999999</v>
      </c>
      <c r="F370" s="5" t="s">
        <v>176</v>
      </c>
    </row>
    <row r="371" spans="1:13" ht="28.8" x14ac:dyDescent="0.3">
      <c r="A371" s="4" t="s">
        <v>7</v>
      </c>
      <c r="B371" s="4" t="s">
        <v>175</v>
      </c>
      <c r="C371" s="5">
        <v>6.0299999999999999E-2</v>
      </c>
      <c r="D371" s="5">
        <v>7.9299999999999995E-2</v>
      </c>
      <c r="E371" s="5">
        <v>0.12620000000000001</v>
      </c>
      <c r="F371" s="5" t="s">
        <v>177</v>
      </c>
    </row>
    <row r="372" spans="1:13" x14ac:dyDescent="0.3">
      <c r="A372" s="4" t="s">
        <v>8</v>
      </c>
      <c r="B372" s="4" t="s">
        <v>171</v>
      </c>
      <c r="C372" s="5" t="s">
        <v>178</v>
      </c>
      <c r="D372" s="5">
        <v>1.5100000000000001E-2</v>
      </c>
      <c r="E372" s="5">
        <v>5.5E-2</v>
      </c>
      <c r="F372" s="5" t="s">
        <v>179</v>
      </c>
    </row>
    <row r="373" spans="1:13" x14ac:dyDescent="0.3">
      <c r="A373" s="4" t="s">
        <v>8</v>
      </c>
      <c r="B373" s="4" t="s">
        <v>173</v>
      </c>
      <c r="C373" s="5">
        <v>9.1899999999999996E-2</v>
      </c>
      <c r="D373" s="5" t="s">
        <v>180</v>
      </c>
      <c r="E373" s="5">
        <v>8.5599999999999996E-2</v>
      </c>
      <c r="F373" s="5">
        <v>3.1099999999999999E-2</v>
      </c>
    </row>
    <row r="374" spans="1:13" x14ac:dyDescent="0.3">
      <c r="A374" s="4" t="s">
        <v>8</v>
      </c>
      <c r="B374" s="4" t="s">
        <v>174</v>
      </c>
      <c r="C374" s="5" t="s">
        <v>181</v>
      </c>
      <c r="D374" s="5" t="s">
        <v>182</v>
      </c>
      <c r="E374" s="5">
        <v>9.6600000000000005E-2</v>
      </c>
      <c r="F374" s="5" t="s">
        <v>183</v>
      </c>
    </row>
    <row r="375" spans="1:13" ht="28.8" x14ac:dyDescent="0.3">
      <c r="A375" s="4" t="s">
        <v>8</v>
      </c>
      <c r="B375" s="4" t="s">
        <v>175</v>
      </c>
      <c r="C375" s="5">
        <v>2.1000000000000001E-2</v>
      </c>
      <c r="D375" s="5" t="s">
        <v>184</v>
      </c>
      <c r="E375" s="5">
        <v>9.6600000000000005E-2</v>
      </c>
      <c r="F375" s="5">
        <v>2.7000000000000001E-3</v>
      </c>
    </row>
    <row r="377" spans="1:13" x14ac:dyDescent="0.3">
      <c r="A377" t="s">
        <v>50</v>
      </c>
      <c r="B377" s="3"/>
      <c r="C377" s="3"/>
      <c r="D377" s="3"/>
      <c r="E377" s="3"/>
      <c r="F377" s="3"/>
      <c r="H377" s="3"/>
      <c r="I377" s="3"/>
      <c r="J377" s="3"/>
      <c r="K377" s="3"/>
      <c r="L377" s="3"/>
      <c r="M377" s="3"/>
    </row>
    <row r="378" spans="1:13" x14ac:dyDescent="0.3">
      <c r="A378" s="3" t="s">
        <v>169</v>
      </c>
      <c r="B378" s="3" t="s">
        <v>170</v>
      </c>
      <c r="C378" s="3" t="s">
        <v>9</v>
      </c>
      <c r="D378" s="3">
        <v>1000</v>
      </c>
      <c r="E378" s="3">
        <v>1500</v>
      </c>
      <c r="F378" s="3">
        <v>3000</v>
      </c>
      <c r="G378" s="3"/>
      <c r="H378" s="3"/>
      <c r="I378" s="3"/>
      <c r="J378" s="3"/>
      <c r="K378" s="3"/>
      <c r="L378" s="3"/>
      <c r="M378" s="3"/>
    </row>
    <row r="379" spans="1:13" x14ac:dyDescent="0.3">
      <c r="A379" s="6" t="s">
        <v>6</v>
      </c>
      <c r="B379" s="4" t="s">
        <v>171</v>
      </c>
      <c r="C379" s="5" t="s">
        <v>185</v>
      </c>
      <c r="D379" s="5" t="s">
        <v>186</v>
      </c>
      <c r="E379" s="5" t="s">
        <v>395</v>
      </c>
      <c r="F379" s="5" t="s">
        <v>187</v>
      </c>
      <c r="G379" s="6"/>
      <c r="H379" s="4"/>
      <c r="I379" s="5"/>
      <c r="J379" s="5"/>
      <c r="K379" s="5"/>
      <c r="L379" s="5"/>
      <c r="M379" s="5"/>
    </row>
    <row r="380" spans="1:13" x14ac:dyDescent="0.3">
      <c r="A380" s="6" t="s">
        <v>6</v>
      </c>
      <c r="B380" s="4" t="s">
        <v>173</v>
      </c>
      <c r="C380" s="5">
        <v>3.7999999999999999E-2</v>
      </c>
      <c r="D380" s="5" t="s">
        <v>188</v>
      </c>
      <c r="E380" s="5" t="s">
        <v>396</v>
      </c>
      <c r="F380" s="5">
        <v>0.33100000000000002</v>
      </c>
      <c r="G380" s="6"/>
      <c r="H380" s="4"/>
      <c r="I380" s="5"/>
      <c r="J380" s="5"/>
      <c r="K380" s="5"/>
      <c r="L380" s="5"/>
      <c r="M380" s="5"/>
    </row>
    <row r="381" spans="1:13" x14ac:dyDescent="0.3">
      <c r="A381" s="6" t="s">
        <v>6</v>
      </c>
      <c r="B381" s="4" t="s">
        <v>174</v>
      </c>
      <c r="C381" s="5" t="s">
        <v>189</v>
      </c>
      <c r="D381" s="5" t="s">
        <v>190</v>
      </c>
      <c r="E381" s="5" t="s">
        <v>397</v>
      </c>
      <c r="F381" s="5" t="s">
        <v>191</v>
      </c>
      <c r="G381" s="6"/>
      <c r="H381" s="4"/>
      <c r="I381" s="5"/>
      <c r="J381" s="5"/>
      <c r="K381" s="5"/>
      <c r="L381" s="5"/>
      <c r="M381" s="5"/>
    </row>
    <row r="382" spans="1:13" ht="28.8" x14ac:dyDescent="0.3">
      <c r="A382" s="6" t="s">
        <v>6</v>
      </c>
      <c r="B382" s="4" t="s">
        <v>175</v>
      </c>
      <c r="C382" s="5" t="s">
        <v>192</v>
      </c>
      <c r="D382" s="5" t="s">
        <v>193</v>
      </c>
      <c r="E382" s="5">
        <v>0.13200000000000001</v>
      </c>
      <c r="F382" s="5">
        <v>2.8000000000000001E-2</v>
      </c>
      <c r="G382" s="6"/>
      <c r="H382" s="4"/>
      <c r="I382" s="5"/>
      <c r="J382" s="5"/>
      <c r="K382" s="5"/>
      <c r="L382" s="5"/>
      <c r="M382" s="5"/>
    </row>
    <row r="383" spans="1:13" x14ac:dyDescent="0.3">
      <c r="A383" s="6" t="s">
        <v>7</v>
      </c>
      <c r="B383" s="4" t="s">
        <v>171</v>
      </c>
      <c r="C383" s="5">
        <v>2E-3</v>
      </c>
      <c r="D383" s="5" t="s">
        <v>194</v>
      </c>
      <c r="E383" s="5" t="s">
        <v>398</v>
      </c>
      <c r="F383" s="5" t="s">
        <v>195</v>
      </c>
      <c r="G383" s="6"/>
      <c r="H383" s="4"/>
      <c r="I383" s="5"/>
      <c r="J383" s="5"/>
      <c r="K383" s="5"/>
      <c r="L383" s="5"/>
      <c r="M383" s="5"/>
    </row>
    <row r="384" spans="1:13" x14ac:dyDescent="0.3">
      <c r="A384" s="6" t="s">
        <v>7</v>
      </c>
      <c r="B384" s="4" t="s">
        <v>173</v>
      </c>
      <c r="C384" s="5">
        <v>0.105</v>
      </c>
      <c r="D384" s="5" t="s">
        <v>196</v>
      </c>
      <c r="E384" s="5">
        <v>7.1999999999999995E-2</v>
      </c>
      <c r="F384" s="5">
        <v>0.24399999999999999</v>
      </c>
      <c r="G384" s="6"/>
      <c r="H384" s="4"/>
      <c r="I384" s="5"/>
      <c r="J384" s="5"/>
      <c r="K384" s="5"/>
      <c r="L384" s="5"/>
      <c r="M384" s="5"/>
    </row>
    <row r="385" spans="1:13" x14ac:dyDescent="0.3">
      <c r="A385" s="6" t="s">
        <v>7</v>
      </c>
      <c r="B385" s="4" t="s">
        <v>174</v>
      </c>
      <c r="C385" s="5" t="s">
        <v>197</v>
      </c>
      <c r="D385" s="5" t="s">
        <v>198</v>
      </c>
      <c r="E385" s="5" t="s">
        <v>399</v>
      </c>
      <c r="F385" s="5" t="s">
        <v>199</v>
      </c>
      <c r="G385" s="6"/>
      <c r="H385" s="4"/>
      <c r="I385" s="5"/>
      <c r="J385" s="5"/>
      <c r="K385" s="5"/>
      <c r="L385" s="5"/>
      <c r="M385" s="5"/>
    </row>
    <row r="386" spans="1:13" ht="28.8" x14ac:dyDescent="0.3">
      <c r="A386" s="6" t="s">
        <v>7</v>
      </c>
      <c r="B386" s="4" t="s">
        <v>175</v>
      </c>
      <c r="C386" s="5" t="s">
        <v>200</v>
      </c>
      <c r="D386" s="5" t="s">
        <v>201</v>
      </c>
      <c r="E386" s="5">
        <v>3.2000000000000001E-2</v>
      </c>
      <c r="F386" s="5" t="s">
        <v>202</v>
      </c>
      <c r="G386" s="6"/>
      <c r="H386" s="4"/>
      <c r="I386" s="5"/>
      <c r="J386" s="5"/>
      <c r="K386" s="5"/>
      <c r="L386" s="5"/>
      <c r="M386" s="5"/>
    </row>
    <row r="387" spans="1:13" x14ac:dyDescent="0.3">
      <c r="A387" s="6" t="s">
        <v>8</v>
      </c>
      <c r="B387" s="4" t="s">
        <v>171</v>
      </c>
      <c r="C387" s="5" t="s">
        <v>203</v>
      </c>
      <c r="D387" s="5" t="s">
        <v>204</v>
      </c>
      <c r="E387" s="5" t="s">
        <v>202</v>
      </c>
      <c r="F387" s="5" t="s">
        <v>205</v>
      </c>
      <c r="G387" s="6"/>
      <c r="H387" s="4"/>
      <c r="I387" s="5"/>
      <c r="J387" s="5"/>
      <c r="K387" s="5"/>
      <c r="L387" s="5"/>
      <c r="M387" s="5"/>
    </row>
    <row r="388" spans="1:13" x14ac:dyDescent="0.3">
      <c r="A388" s="6" t="s">
        <v>8</v>
      </c>
      <c r="B388" s="4" t="s">
        <v>173</v>
      </c>
      <c r="C388" s="5" t="s">
        <v>206</v>
      </c>
      <c r="D388" s="5" t="s">
        <v>207</v>
      </c>
      <c r="E388" s="5" t="s">
        <v>400</v>
      </c>
      <c r="F388" s="5">
        <v>8.9999999999999993E-3</v>
      </c>
      <c r="G388" s="6"/>
      <c r="H388" s="4"/>
      <c r="I388" s="5"/>
      <c r="J388" s="5"/>
      <c r="K388" s="5"/>
      <c r="L388" s="5"/>
      <c r="M388" s="5"/>
    </row>
    <row r="389" spans="1:13" x14ac:dyDescent="0.3">
      <c r="A389" s="6" t="s">
        <v>8</v>
      </c>
      <c r="B389" s="4" t="s">
        <v>174</v>
      </c>
      <c r="C389" s="5">
        <v>6.0000000000000001E-3</v>
      </c>
      <c r="D389" s="5" t="s">
        <v>208</v>
      </c>
      <c r="E389" s="5" t="s">
        <v>401</v>
      </c>
      <c r="F389" s="5" t="s">
        <v>209</v>
      </c>
      <c r="G389" s="6"/>
      <c r="H389" s="4"/>
      <c r="I389" s="5"/>
      <c r="J389" s="5"/>
      <c r="K389" s="5"/>
      <c r="L389" s="5"/>
      <c r="M389" s="5"/>
    </row>
    <row r="390" spans="1:13" ht="28.8" x14ac:dyDescent="0.3">
      <c r="A390" s="6" t="s">
        <v>8</v>
      </c>
      <c r="B390" s="4" t="s">
        <v>175</v>
      </c>
      <c r="C390" s="5" t="s">
        <v>210</v>
      </c>
      <c r="D390" s="5" t="s">
        <v>211</v>
      </c>
      <c r="E390" s="5" t="s">
        <v>402</v>
      </c>
      <c r="F390" s="5" t="s">
        <v>212</v>
      </c>
      <c r="G390" s="6"/>
      <c r="H390" s="4"/>
      <c r="I390" s="5"/>
      <c r="J390" s="5"/>
      <c r="K390" s="5"/>
      <c r="L390" s="5"/>
      <c r="M390" s="5"/>
    </row>
    <row r="392" spans="1:13" x14ac:dyDescent="0.3">
      <c r="A392" s="4" t="s">
        <v>213</v>
      </c>
    </row>
    <row r="393" spans="1:13" x14ac:dyDescent="0.3">
      <c r="A393" s="3" t="s">
        <v>169</v>
      </c>
      <c r="B393" s="3" t="s">
        <v>170</v>
      </c>
      <c r="C393" s="3" t="s">
        <v>9</v>
      </c>
      <c r="D393" s="3" t="s">
        <v>34</v>
      </c>
      <c r="E393" s="3" t="s">
        <v>35</v>
      </c>
      <c r="F393" s="3" t="s">
        <v>36</v>
      </c>
    </row>
    <row r="394" spans="1:13" x14ac:dyDescent="0.3">
      <c r="A394" s="4" t="s">
        <v>6</v>
      </c>
      <c r="B394" s="4" t="s">
        <v>171</v>
      </c>
      <c r="C394" s="5" t="s">
        <v>181</v>
      </c>
      <c r="D394" s="5" t="s">
        <v>214</v>
      </c>
      <c r="E394" s="5" t="s">
        <v>215</v>
      </c>
      <c r="F394" s="5">
        <v>1.2999999999999999E-3</v>
      </c>
    </row>
    <row r="395" spans="1:13" x14ac:dyDescent="0.3">
      <c r="A395" s="4" t="s">
        <v>6</v>
      </c>
      <c r="B395" s="4" t="s">
        <v>173</v>
      </c>
      <c r="C395" s="5">
        <v>0.219</v>
      </c>
      <c r="D395" s="5">
        <v>0.19570000000000001</v>
      </c>
      <c r="E395" s="5">
        <v>0.1118</v>
      </c>
      <c r="F395" s="5">
        <v>0.4289</v>
      </c>
    </row>
    <row r="396" spans="1:13" x14ac:dyDescent="0.3">
      <c r="A396" s="4" t="s">
        <v>6</v>
      </c>
      <c r="B396" s="4" t="s">
        <v>174</v>
      </c>
      <c r="C396" s="5">
        <v>3.8899999999999997E-2</v>
      </c>
      <c r="D396" s="5" t="s">
        <v>216</v>
      </c>
      <c r="E396" s="5" t="s">
        <v>217</v>
      </c>
      <c r="F396" s="5" t="s">
        <v>218</v>
      </c>
    </row>
    <row r="397" spans="1:13" ht="28.8" x14ac:dyDescent="0.3">
      <c r="A397" s="4" t="s">
        <v>6</v>
      </c>
      <c r="B397" s="4" t="s">
        <v>175</v>
      </c>
      <c r="C397" s="5">
        <v>0.3085</v>
      </c>
      <c r="D397" s="5">
        <v>0.30070000000000002</v>
      </c>
      <c r="E397" s="5">
        <v>0.32350000000000001</v>
      </c>
      <c r="F397" s="5">
        <v>0.26979999999999998</v>
      </c>
    </row>
    <row r="398" spans="1:13" x14ac:dyDescent="0.3">
      <c r="A398" s="4" t="s">
        <v>7</v>
      </c>
      <c r="B398" s="4" t="s">
        <v>171</v>
      </c>
      <c r="C398" s="5" t="s">
        <v>219</v>
      </c>
      <c r="D398" s="5" t="s">
        <v>220</v>
      </c>
      <c r="E398" s="5" t="s">
        <v>221</v>
      </c>
      <c r="F398" s="5" t="s">
        <v>222</v>
      </c>
    </row>
    <row r="399" spans="1:13" x14ac:dyDescent="0.3">
      <c r="A399" s="4" t="s">
        <v>7</v>
      </c>
      <c r="B399" s="4" t="s">
        <v>173</v>
      </c>
      <c r="C399" s="5">
        <v>0.15040000000000001</v>
      </c>
      <c r="D399" s="5">
        <v>8.14E-2</v>
      </c>
      <c r="E399" s="5">
        <v>0.1242</v>
      </c>
      <c r="F399" s="5">
        <v>0.32669999999999999</v>
      </c>
    </row>
    <row r="400" spans="1:13" x14ac:dyDescent="0.3">
      <c r="A400" s="4" t="s">
        <v>7</v>
      </c>
      <c r="B400" s="4" t="s">
        <v>174</v>
      </c>
      <c r="C400" s="5">
        <v>2.9499999999999998E-2</v>
      </c>
      <c r="D400" s="5" t="s">
        <v>223</v>
      </c>
      <c r="E400" s="5" t="s">
        <v>224</v>
      </c>
      <c r="F400" s="5" t="s">
        <v>225</v>
      </c>
    </row>
    <row r="401" spans="1:6" ht="28.8" x14ac:dyDescent="0.3">
      <c r="A401" s="4" t="s">
        <v>7</v>
      </c>
      <c r="B401" s="4" t="s">
        <v>175</v>
      </c>
      <c r="C401" s="5">
        <v>0.20319999999999999</v>
      </c>
      <c r="D401" s="5">
        <v>2.6200000000000001E-2</v>
      </c>
      <c r="E401" s="5">
        <v>8.6599999999999996E-2</v>
      </c>
      <c r="F401" s="5" t="s">
        <v>226</v>
      </c>
    </row>
    <row r="402" spans="1:6" x14ac:dyDescent="0.3">
      <c r="A402" s="4" t="s">
        <v>8</v>
      </c>
      <c r="B402" s="4" t="s">
        <v>171</v>
      </c>
      <c r="C402" s="5" t="s">
        <v>227</v>
      </c>
      <c r="D402" s="5" t="s">
        <v>228</v>
      </c>
      <c r="E402" s="5" t="s">
        <v>229</v>
      </c>
      <c r="F402" s="5">
        <v>3.0999999999999999E-3</v>
      </c>
    </row>
    <row r="403" spans="1:6" x14ac:dyDescent="0.3">
      <c r="A403" s="4" t="s">
        <v>8</v>
      </c>
      <c r="B403" s="4" t="s">
        <v>173</v>
      </c>
      <c r="C403" s="5" t="s">
        <v>230</v>
      </c>
      <c r="D403" s="5" t="s">
        <v>231</v>
      </c>
      <c r="E403" s="5" t="s">
        <v>232</v>
      </c>
      <c r="F403" s="5">
        <v>2.64E-2</v>
      </c>
    </row>
    <row r="404" spans="1:6" x14ac:dyDescent="0.3">
      <c r="A404" s="4" t="s">
        <v>8</v>
      </c>
      <c r="B404" s="4" t="s">
        <v>174</v>
      </c>
      <c r="C404" s="5">
        <v>1.5800000000000002E-2</v>
      </c>
      <c r="D404" s="5" t="s">
        <v>233</v>
      </c>
      <c r="E404" s="5" t="s">
        <v>234</v>
      </c>
      <c r="F404" s="5" t="s">
        <v>235</v>
      </c>
    </row>
    <row r="405" spans="1:6" ht="28.8" x14ac:dyDescent="0.3">
      <c r="A405" s="4" t="s">
        <v>8</v>
      </c>
      <c r="B405" s="4" t="s">
        <v>175</v>
      </c>
      <c r="C405" s="5" t="s">
        <v>236</v>
      </c>
      <c r="D405" s="5" t="s">
        <v>237</v>
      </c>
      <c r="E405" s="5" t="s">
        <v>238</v>
      </c>
      <c r="F405" s="5" t="s">
        <v>239</v>
      </c>
    </row>
    <row r="407" spans="1:6" x14ac:dyDescent="0.3">
      <c r="A407" s="4" t="s">
        <v>54</v>
      </c>
    </row>
    <row r="408" spans="1:6" x14ac:dyDescent="0.3">
      <c r="A408" s="3" t="s">
        <v>169</v>
      </c>
      <c r="B408" s="3" t="s">
        <v>170</v>
      </c>
      <c r="C408" s="3" t="s">
        <v>9</v>
      </c>
      <c r="D408" s="3" t="s">
        <v>34</v>
      </c>
      <c r="E408" s="3" t="s">
        <v>35</v>
      </c>
      <c r="F408" s="3" t="s">
        <v>36</v>
      </c>
    </row>
    <row r="409" spans="1:6" x14ac:dyDescent="0.3">
      <c r="A409" s="4" t="s">
        <v>6</v>
      </c>
      <c r="B409" s="4" t="s">
        <v>171</v>
      </c>
      <c r="C409" s="5">
        <v>0.13871</v>
      </c>
      <c r="D409" s="5">
        <v>0.11257</v>
      </c>
      <c r="E409" s="5">
        <v>0.25530999999999998</v>
      </c>
      <c r="F409" s="5" t="s">
        <v>240</v>
      </c>
    </row>
    <row r="410" spans="1:6" x14ac:dyDescent="0.3">
      <c r="A410" s="4" t="s">
        <v>6</v>
      </c>
      <c r="B410" s="4" t="s">
        <v>173</v>
      </c>
      <c r="C410" s="5">
        <v>0.21129999999999999</v>
      </c>
      <c r="D410" s="5">
        <v>0.16123000000000001</v>
      </c>
      <c r="E410" s="5">
        <v>0.23063</v>
      </c>
      <c r="F410" s="5" t="s">
        <v>241</v>
      </c>
    </row>
    <row r="411" spans="1:6" x14ac:dyDescent="0.3">
      <c r="A411" s="4" t="s">
        <v>6</v>
      </c>
      <c r="B411" s="4" t="s">
        <v>174</v>
      </c>
      <c r="C411" s="5">
        <v>0.22416</v>
      </c>
      <c r="D411" s="5">
        <v>0.26689000000000002</v>
      </c>
      <c r="E411" s="5">
        <v>0.29968</v>
      </c>
      <c r="F411" s="5">
        <v>2.001E-2</v>
      </c>
    </row>
    <row r="412" spans="1:6" ht="28.8" x14ac:dyDescent="0.3">
      <c r="A412" s="4" t="s">
        <v>6</v>
      </c>
      <c r="B412" s="4" t="s">
        <v>175</v>
      </c>
      <c r="C412" s="5">
        <v>0.29675000000000001</v>
      </c>
      <c r="D412" s="5">
        <v>0.31555</v>
      </c>
      <c r="E412" s="5">
        <v>0.27500000000000002</v>
      </c>
      <c r="F412" s="5">
        <v>1.1129999999999999E-2</v>
      </c>
    </row>
    <row r="413" spans="1:6" x14ac:dyDescent="0.3">
      <c r="A413" s="4" t="s">
        <v>7</v>
      </c>
      <c r="B413" s="4" t="s">
        <v>171</v>
      </c>
      <c r="C413" s="5">
        <v>2.7359999999999999E-2</v>
      </c>
      <c r="D413" s="5">
        <v>0.15128</v>
      </c>
      <c r="E413" s="5">
        <v>0.17748</v>
      </c>
      <c r="F413" s="5" t="s">
        <v>242</v>
      </c>
    </row>
    <row r="414" spans="1:6" x14ac:dyDescent="0.3">
      <c r="A414" s="4" t="s">
        <v>7</v>
      </c>
      <c r="B414" s="4" t="s">
        <v>173</v>
      </c>
      <c r="C414" s="5">
        <v>0.20802000000000001</v>
      </c>
      <c r="D414" s="5">
        <v>0.25347999999999998</v>
      </c>
      <c r="E414" s="5">
        <v>0.28667999999999999</v>
      </c>
      <c r="F414" s="5">
        <v>6.8519999999999998E-2</v>
      </c>
    </row>
    <row r="415" spans="1:6" x14ac:dyDescent="0.3">
      <c r="A415" s="4" t="s">
        <v>7</v>
      </c>
      <c r="B415" s="4" t="s">
        <v>174</v>
      </c>
      <c r="C415" s="5">
        <v>0.18012</v>
      </c>
      <c r="D415" s="5">
        <v>0.27826000000000001</v>
      </c>
      <c r="E415" s="5">
        <v>0.23202</v>
      </c>
      <c r="F415" s="5" t="s">
        <v>243</v>
      </c>
    </row>
    <row r="416" spans="1:6" ht="28.8" x14ac:dyDescent="0.3">
      <c r="A416" s="4" t="s">
        <v>7</v>
      </c>
      <c r="B416" s="4" t="s">
        <v>175</v>
      </c>
      <c r="C416" s="5">
        <v>0.36077999999999999</v>
      </c>
      <c r="D416" s="5">
        <v>0.38046999999999997</v>
      </c>
      <c r="E416" s="5">
        <v>0.34121000000000001</v>
      </c>
      <c r="F416" s="5">
        <v>7.936E-2</v>
      </c>
    </row>
    <row r="417" spans="1:6" x14ac:dyDescent="0.3">
      <c r="A417" s="4" t="s">
        <v>8</v>
      </c>
      <c r="B417" s="4" t="s">
        <v>171</v>
      </c>
      <c r="C417" s="5">
        <v>6.0499999999999998E-3</v>
      </c>
      <c r="D417" s="5">
        <v>0.11008</v>
      </c>
      <c r="E417" s="5">
        <v>0.10899</v>
      </c>
      <c r="F417" s="5" t="s">
        <v>244</v>
      </c>
    </row>
    <row r="418" spans="1:6" x14ac:dyDescent="0.3">
      <c r="A418" s="4" t="s">
        <v>8</v>
      </c>
      <c r="B418" s="4" t="s">
        <v>173</v>
      </c>
      <c r="C418" s="5">
        <v>0.14204</v>
      </c>
      <c r="D418" s="5">
        <v>0.14812</v>
      </c>
      <c r="E418" s="5">
        <v>0.12556</v>
      </c>
      <c r="F418" s="5" t="s">
        <v>245</v>
      </c>
    </row>
    <row r="419" spans="1:6" x14ac:dyDescent="0.3">
      <c r="A419" s="4" t="s">
        <v>8</v>
      </c>
      <c r="B419" s="4" t="s">
        <v>174</v>
      </c>
      <c r="C419" s="5" t="s">
        <v>246</v>
      </c>
      <c r="D419" s="5" t="s">
        <v>247</v>
      </c>
      <c r="E419" s="5" t="s">
        <v>248</v>
      </c>
      <c r="F419" s="5" t="s">
        <v>249</v>
      </c>
    </row>
    <row r="420" spans="1:6" ht="28.8" x14ac:dyDescent="0.3">
      <c r="A420" s="4" t="s">
        <v>8</v>
      </c>
      <c r="B420" s="4" t="s">
        <v>175</v>
      </c>
      <c r="C420" s="5" t="s">
        <v>250</v>
      </c>
      <c r="D420" s="5">
        <v>3.6040000000000003E-2</v>
      </c>
      <c r="E420" s="5" t="s">
        <v>251</v>
      </c>
      <c r="F420" s="5" t="s">
        <v>252</v>
      </c>
    </row>
    <row r="422" spans="1:6" x14ac:dyDescent="0.3">
      <c r="A422" s="4" t="s">
        <v>56</v>
      </c>
    </row>
    <row r="423" spans="1:6" x14ac:dyDescent="0.3">
      <c r="A423" s="3" t="s">
        <v>169</v>
      </c>
      <c r="B423" s="3" t="s">
        <v>170</v>
      </c>
      <c r="C423" s="3" t="s">
        <v>9</v>
      </c>
      <c r="D423" s="3" t="s">
        <v>34</v>
      </c>
      <c r="E423" s="3" t="s">
        <v>35</v>
      </c>
      <c r="F423" s="3" t="s">
        <v>36</v>
      </c>
    </row>
    <row r="424" spans="1:6" x14ac:dyDescent="0.3">
      <c r="A424" s="4" t="s">
        <v>6</v>
      </c>
      <c r="B424" s="4" t="s">
        <v>171</v>
      </c>
      <c r="C424" s="5">
        <v>0.34601999999999999</v>
      </c>
      <c r="D424" s="5">
        <v>0.40445999999999999</v>
      </c>
      <c r="E424" s="5">
        <v>0.55528999999999995</v>
      </c>
      <c r="F424" s="5" t="s">
        <v>253</v>
      </c>
    </row>
    <row r="425" spans="1:6" x14ac:dyDescent="0.3">
      <c r="A425" s="4" t="s">
        <v>6</v>
      </c>
      <c r="B425" s="4" t="s">
        <v>173</v>
      </c>
      <c r="C425" s="5">
        <v>0.17956</v>
      </c>
      <c r="D425" s="5">
        <v>0.20141999999999999</v>
      </c>
      <c r="E425" s="5">
        <v>0.29597000000000001</v>
      </c>
      <c r="F425" s="5" t="s">
        <v>254</v>
      </c>
    </row>
    <row r="426" spans="1:6" x14ac:dyDescent="0.3">
      <c r="A426" s="4" t="s">
        <v>6</v>
      </c>
      <c r="B426" s="4" t="s">
        <v>174</v>
      </c>
      <c r="C426" s="5">
        <v>0.14734</v>
      </c>
      <c r="D426" s="5">
        <v>0.20646999999999999</v>
      </c>
      <c r="E426" s="5">
        <v>0.23981</v>
      </c>
      <c r="F426" s="5">
        <v>7.4499999999999997E-2</v>
      </c>
    </row>
    <row r="427" spans="1:6" ht="28.8" x14ac:dyDescent="0.3">
      <c r="A427" s="4" t="s">
        <v>6</v>
      </c>
      <c r="B427" s="4" t="s">
        <v>175</v>
      </c>
      <c r="C427" s="5" t="s">
        <v>255</v>
      </c>
      <c r="D427" s="5">
        <v>3.4399999999999999E-3</v>
      </c>
      <c r="E427" s="5" t="s">
        <v>256</v>
      </c>
      <c r="F427" s="5" t="s">
        <v>257</v>
      </c>
    </row>
    <row r="428" spans="1:6" x14ac:dyDescent="0.3">
      <c r="A428" s="4" t="s">
        <v>7</v>
      </c>
      <c r="B428" s="4" t="s">
        <v>171</v>
      </c>
      <c r="C428" s="5">
        <v>4.7489999999999997E-2</v>
      </c>
      <c r="D428" s="5">
        <v>0.37148999999999999</v>
      </c>
      <c r="E428" s="5">
        <v>0.4501</v>
      </c>
      <c r="F428" s="5" t="s">
        <v>258</v>
      </c>
    </row>
    <row r="429" spans="1:6" x14ac:dyDescent="0.3">
      <c r="A429" s="4" t="s">
        <v>7</v>
      </c>
      <c r="B429" s="4" t="s">
        <v>173</v>
      </c>
      <c r="C429" s="5">
        <v>7.9079999999999998E-2</v>
      </c>
      <c r="D429" s="5">
        <v>0.28217999999999999</v>
      </c>
      <c r="E429" s="5">
        <v>0.35780000000000001</v>
      </c>
      <c r="F429" s="5" t="s">
        <v>259</v>
      </c>
    </row>
    <row r="430" spans="1:6" x14ac:dyDescent="0.3">
      <c r="A430" s="4" t="s">
        <v>7</v>
      </c>
      <c r="B430" s="4" t="s">
        <v>174</v>
      </c>
      <c r="C430" s="5">
        <v>6.6360000000000002E-2</v>
      </c>
      <c r="D430" s="5">
        <v>0.20677000000000001</v>
      </c>
      <c r="E430" s="5">
        <v>0.18312</v>
      </c>
      <c r="F430" s="5">
        <v>3.9019999999999999E-2</v>
      </c>
    </row>
    <row r="431" spans="1:6" ht="28.8" x14ac:dyDescent="0.3">
      <c r="A431" s="4" t="s">
        <v>7</v>
      </c>
      <c r="B431" s="4" t="s">
        <v>175</v>
      </c>
      <c r="C431" s="5">
        <v>9.7960000000000005E-2</v>
      </c>
      <c r="D431" s="5">
        <v>0.11745999999999999</v>
      </c>
      <c r="E431" s="5">
        <v>9.0819999999999998E-2</v>
      </c>
      <c r="F431" s="5" t="s">
        <v>260</v>
      </c>
    </row>
    <row r="432" spans="1:6" x14ac:dyDescent="0.3">
      <c r="A432" s="4" t="s">
        <v>8</v>
      </c>
      <c r="B432" s="4" t="s">
        <v>171</v>
      </c>
      <c r="C432" s="5">
        <v>0.17510000000000001</v>
      </c>
      <c r="D432" s="5">
        <v>0.33772000000000002</v>
      </c>
      <c r="E432" s="5">
        <v>0.10609</v>
      </c>
      <c r="F432" s="5" t="s">
        <v>261</v>
      </c>
    </row>
    <row r="433" spans="1:6" x14ac:dyDescent="0.3">
      <c r="A433" s="4" t="s">
        <v>8</v>
      </c>
      <c r="B433" s="4" t="s">
        <v>173</v>
      </c>
      <c r="C433" s="5">
        <v>0.33017999999999997</v>
      </c>
      <c r="D433" s="5">
        <v>0.36459999999999998</v>
      </c>
      <c r="E433" s="5">
        <v>0.10573</v>
      </c>
      <c r="F433" s="5" t="s">
        <v>262</v>
      </c>
    </row>
    <row r="434" spans="1:6" x14ac:dyDescent="0.3">
      <c r="A434" s="4" t="s">
        <v>8</v>
      </c>
      <c r="B434" s="4" t="s">
        <v>174</v>
      </c>
      <c r="C434" s="5" t="s">
        <v>263</v>
      </c>
      <c r="D434" s="5">
        <v>0.24962999999999999</v>
      </c>
      <c r="E434" s="5" t="s">
        <v>264</v>
      </c>
      <c r="F434" s="5">
        <v>2.8729999999999999E-2</v>
      </c>
    </row>
    <row r="435" spans="1:6" ht="28.8" x14ac:dyDescent="0.3">
      <c r="A435" s="4" t="s">
        <v>8</v>
      </c>
      <c r="B435" s="4" t="s">
        <v>175</v>
      </c>
      <c r="C435" s="5">
        <v>8.2970000000000002E-2</v>
      </c>
      <c r="D435" s="5">
        <v>0.27651999999999999</v>
      </c>
      <c r="E435" s="5" t="s">
        <v>265</v>
      </c>
      <c r="F435" s="5">
        <v>4.1410000000000002E-2</v>
      </c>
    </row>
    <row r="437" spans="1:6" x14ac:dyDescent="0.3">
      <c r="A437" s="4" t="s">
        <v>266</v>
      </c>
    </row>
    <row r="438" spans="1:6" x14ac:dyDescent="0.3">
      <c r="A438" s="3" t="s">
        <v>169</v>
      </c>
      <c r="B438" s="3" t="s">
        <v>170</v>
      </c>
      <c r="C438" s="3" t="s">
        <v>9</v>
      </c>
      <c r="D438" s="3" t="s">
        <v>34</v>
      </c>
      <c r="E438" s="3" t="s">
        <v>35</v>
      </c>
      <c r="F438" s="3" t="s">
        <v>36</v>
      </c>
    </row>
    <row r="439" spans="1:6" x14ac:dyDescent="0.3">
      <c r="A439" s="4" t="s">
        <v>6</v>
      </c>
      <c r="B439" s="4" t="s">
        <v>171</v>
      </c>
      <c r="C439" s="5">
        <v>0.19220000000000001</v>
      </c>
      <c r="D439" s="5">
        <v>0.23671</v>
      </c>
      <c r="E439" s="5">
        <v>0.39677000000000001</v>
      </c>
      <c r="F439" s="5" t="s">
        <v>267</v>
      </c>
    </row>
    <row r="440" spans="1:6" x14ac:dyDescent="0.3">
      <c r="A440" s="4" t="s">
        <v>6</v>
      </c>
      <c r="B440" s="4" t="s">
        <v>173</v>
      </c>
      <c r="C440" s="5">
        <v>0.15264</v>
      </c>
      <c r="D440" s="5">
        <v>0.13378999999999999</v>
      </c>
      <c r="E440" s="5">
        <v>0.20075000000000001</v>
      </c>
      <c r="F440" s="5" t="s">
        <v>268</v>
      </c>
    </row>
    <row r="441" spans="1:6" x14ac:dyDescent="0.3">
      <c r="A441" s="4" t="s">
        <v>6</v>
      </c>
      <c r="B441" s="4" t="s">
        <v>174</v>
      </c>
      <c r="C441" s="5">
        <v>0.17629</v>
      </c>
      <c r="D441" s="5">
        <v>0.22453999999999999</v>
      </c>
      <c r="E441" s="5">
        <v>0.29742000000000002</v>
      </c>
      <c r="F441" s="5">
        <v>0.19843</v>
      </c>
    </row>
    <row r="442" spans="1:6" ht="28.8" x14ac:dyDescent="0.3">
      <c r="A442" s="4" t="s">
        <v>6</v>
      </c>
      <c r="B442" s="4" t="s">
        <v>175</v>
      </c>
      <c r="C442" s="5">
        <v>0.13674</v>
      </c>
      <c r="D442" s="5">
        <v>0.12162000000000001</v>
      </c>
      <c r="E442" s="5">
        <v>9.7420000000000007E-2</v>
      </c>
      <c r="F442" s="5">
        <v>2.0799999999999999E-2</v>
      </c>
    </row>
    <row r="443" spans="1:6" x14ac:dyDescent="0.3">
      <c r="A443" s="4" t="s">
        <v>7</v>
      </c>
      <c r="B443" s="4" t="s">
        <v>171</v>
      </c>
      <c r="C443" s="5">
        <v>6.1379999999999997E-2</v>
      </c>
      <c r="D443" s="5">
        <v>0.26998</v>
      </c>
      <c r="E443" s="5">
        <v>0.29873</v>
      </c>
      <c r="F443" s="5" t="s">
        <v>269</v>
      </c>
    </row>
    <row r="444" spans="1:6" x14ac:dyDescent="0.3">
      <c r="A444" s="4" t="s">
        <v>7</v>
      </c>
      <c r="B444" s="4" t="s">
        <v>173</v>
      </c>
      <c r="C444" s="5">
        <v>0.1207</v>
      </c>
      <c r="D444" s="5">
        <v>0.20777000000000001</v>
      </c>
      <c r="E444" s="5">
        <v>0.21873000000000001</v>
      </c>
      <c r="F444" s="5" t="s">
        <v>270</v>
      </c>
    </row>
    <row r="445" spans="1:6" x14ac:dyDescent="0.3">
      <c r="A445" s="4" t="s">
        <v>7</v>
      </c>
      <c r="B445" s="4" t="s">
        <v>174</v>
      </c>
      <c r="C445" s="5">
        <v>0.12714</v>
      </c>
      <c r="D445" s="5">
        <v>0.23402000000000001</v>
      </c>
      <c r="E445" s="5">
        <v>0.23133999999999999</v>
      </c>
      <c r="F445" s="5">
        <v>0.11342000000000001</v>
      </c>
    </row>
    <row r="446" spans="1:6" ht="28.8" x14ac:dyDescent="0.3">
      <c r="A446" s="4" t="s">
        <v>7</v>
      </c>
      <c r="B446" s="4" t="s">
        <v>175</v>
      </c>
      <c r="C446" s="5">
        <v>0.18647</v>
      </c>
      <c r="D446" s="5">
        <v>0.17180999999999999</v>
      </c>
      <c r="E446" s="5">
        <v>0.14033999999999999</v>
      </c>
      <c r="F446" s="5">
        <v>7.1489999999999998E-2</v>
      </c>
    </row>
    <row r="447" spans="1:6" x14ac:dyDescent="0.3">
      <c r="A447" s="4" t="s">
        <v>8</v>
      </c>
      <c r="B447" s="4" t="s">
        <v>171</v>
      </c>
      <c r="C447" s="5">
        <v>6.5040000000000001E-2</v>
      </c>
      <c r="D447" s="5">
        <v>0.20624000000000001</v>
      </c>
      <c r="E447" s="5">
        <v>0.14527000000000001</v>
      </c>
      <c r="F447" s="5" t="s">
        <v>271</v>
      </c>
    </row>
    <row r="448" spans="1:6" x14ac:dyDescent="0.3">
      <c r="A448" s="4" t="s">
        <v>8</v>
      </c>
      <c r="B448" s="4" t="s">
        <v>173</v>
      </c>
      <c r="C448" s="5">
        <v>0.18498000000000001</v>
      </c>
      <c r="D448" s="5">
        <v>0.19613</v>
      </c>
      <c r="E448" s="5">
        <v>8.1519999999999995E-2</v>
      </c>
      <c r="F448" s="5" t="s">
        <v>272</v>
      </c>
    </row>
    <row r="449" spans="1:6" x14ac:dyDescent="0.3">
      <c r="A449" s="4" t="s">
        <v>8</v>
      </c>
      <c r="B449" s="4" t="s">
        <v>174</v>
      </c>
      <c r="C449" s="5" t="s">
        <v>273</v>
      </c>
      <c r="D449" s="5">
        <v>0.17695</v>
      </c>
      <c r="E449" s="5" t="s">
        <v>274</v>
      </c>
      <c r="F449" s="5">
        <v>9.7059999999999994E-2</v>
      </c>
    </row>
    <row r="450" spans="1:6" ht="28.8" x14ac:dyDescent="0.3">
      <c r="A450" s="4" t="s">
        <v>8</v>
      </c>
      <c r="B450" s="4" t="s">
        <v>175</v>
      </c>
      <c r="C450" s="5">
        <v>6.5379999999999994E-2</v>
      </c>
      <c r="D450" s="5">
        <v>0.16683000000000001</v>
      </c>
      <c r="E450" s="5">
        <v>1.864E-2</v>
      </c>
      <c r="F450" s="5">
        <v>4.8329999999999998E-2</v>
      </c>
    </row>
    <row r="453" spans="1:6" x14ac:dyDescent="0.3">
      <c r="A453" s="4" t="s">
        <v>275</v>
      </c>
    </row>
    <row r="454" spans="1:6" x14ac:dyDescent="0.3">
      <c r="A454" s="3" t="s">
        <v>169</v>
      </c>
      <c r="B454" s="3" t="s">
        <v>170</v>
      </c>
      <c r="C454" s="3" t="s">
        <v>9</v>
      </c>
      <c r="D454" s="3" t="s">
        <v>34</v>
      </c>
      <c r="E454" s="3" t="s">
        <v>35</v>
      </c>
      <c r="F454" s="3" t="s">
        <v>36</v>
      </c>
    </row>
    <row r="455" spans="1:6" x14ac:dyDescent="0.3">
      <c r="A455" s="4" t="s">
        <v>6</v>
      </c>
      <c r="B455" s="4" t="s">
        <v>171</v>
      </c>
      <c r="C455" s="5" t="s">
        <v>276</v>
      </c>
      <c r="D455" s="5" t="s">
        <v>277</v>
      </c>
      <c r="E455" s="5" t="s">
        <v>278</v>
      </c>
      <c r="F455" s="5">
        <v>1.158E-2</v>
      </c>
    </row>
    <row r="456" spans="1:6" x14ac:dyDescent="0.3">
      <c r="A456" s="4" t="s">
        <v>6</v>
      </c>
      <c r="B456" s="4" t="s">
        <v>173</v>
      </c>
      <c r="C456" s="5">
        <v>0.12092</v>
      </c>
      <c r="D456" s="5">
        <v>3.9350000000000003E-2</v>
      </c>
      <c r="E456" s="5">
        <v>1.3559999999999999E-2</v>
      </c>
      <c r="F456" s="5">
        <v>0.39517000000000002</v>
      </c>
    </row>
    <row r="457" spans="1:6" x14ac:dyDescent="0.3">
      <c r="A457" s="4" t="s">
        <v>6</v>
      </c>
      <c r="B457" s="4" t="s">
        <v>174</v>
      </c>
      <c r="C457" s="5" t="s">
        <v>279</v>
      </c>
      <c r="D457" s="5" t="s">
        <v>280</v>
      </c>
      <c r="E457" s="5" t="s">
        <v>281</v>
      </c>
      <c r="F457" s="5" t="s">
        <v>282</v>
      </c>
    </row>
    <row r="458" spans="1:6" ht="28.8" x14ac:dyDescent="0.3">
      <c r="A458" s="4" t="s">
        <v>6</v>
      </c>
      <c r="B458" s="4" t="s">
        <v>175</v>
      </c>
      <c r="C458" s="5">
        <v>0.19742000000000001</v>
      </c>
      <c r="D458" s="5">
        <v>0.22145000000000001</v>
      </c>
      <c r="E458" s="5">
        <v>0.20668</v>
      </c>
      <c r="F458" s="5">
        <v>0.18804999999999999</v>
      </c>
    </row>
    <row r="459" spans="1:6" x14ac:dyDescent="0.3">
      <c r="A459" s="4" t="s">
        <v>7</v>
      </c>
      <c r="B459" s="4" t="s">
        <v>171</v>
      </c>
      <c r="C459" s="5" t="s">
        <v>283</v>
      </c>
      <c r="D459" s="5" t="s">
        <v>284</v>
      </c>
      <c r="E459" s="5" t="s">
        <v>285</v>
      </c>
      <c r="F459" s="5">
        <v>1.9730000000000001E-2</v>
      </c>
    </row>
    <row r="460" spans="1:6" x14ac:dyDescent="0.3">
      <c r="A460" s="4" t="s">
        <v>7</v>
      </c>
      <c r="B460" s="4" t="s">
        <v>173</v>
      </c>
      <c r="C460" s="5">
        <v>0.11552</v>
      </c>
      <c r="D460" s="5">
        <v>0.14252999999999999</v>
      </c>
      <c r="E460" s="5">
        <v>0.12324</v>
      </c>
      <c r="F460" s="5">
        <v>0.34832000000000002</v>
      </c>
    </row>
    <row r="461" spans="1:6" x14ac:dyDescent="0.3">
      <c r="A461" s="4" t="s">
        <v>7</v>
      </c>
      <c r="B461" s="4" t="s">
        <v>174</v>
      </c>
      <c r="C461" s="5" t="s">
        <v>286</v>
      </c>
      <c r="D461" s="5" t="s">
        <v>287</v>
      </c>
      <c r="E461" s="5" t="s">
        <v>288</v>
      </c>
      <c r="F461" s="5" t="s">
        <v>289</v>
      </c>
    </row>
    <row r="462" spans="1:6" ht="28.8" x14ac:dyDescent="0.3">
      <c r="A462" s="4" t="s">
        <v>7</v>
      </c>
      <c r="B462" s="4" t="s">
        <v>175</v>
      </c>
      <c r="C462" s="5">
        <v>0.14163999999999999</v>
      </c>
      <c r="D462" s="5">
        <v>0.15828999999999999</v>
      </c>
      <c r="E462" s="5">
        <v>0.13256999999999999</v>
      </c>
      <c r="F462" s="5">
        <v>0.13469999999999999</v>
      </c>
    </row>
    <row r="463" spans="1:6" x14ac:dyDescent="0.3">
      <c r="A463" s="4" t="s">
        <v>8</v>
      </c>
      <c r="B463" s="4" t="s">
        <v>171</v>
      </c>
      <c r="C463" s="5" t="s">
        <v>290</v>
      </c>
      <c r="D463" s="5" t="s">
        <v>291</v>
      </c>
      <c r="E463" s="5">
        <v>3.5740000000000001E-2</v>
      </c>
      <c r="F463" s="5">
        <v>4.6960000000000002E-2</v>
      </c>
    </row>
    <row r="464" spans="1:6" x14ac:dyDescent="0.3">
      <c r="A464" s="4" t="s">
        <v>8</v>
      </c>
      <c r="B464" s="4" t="s">
        <v>173</v>
      </c>
      <c r="C464" s="5" t="s">
        <v>292</v>
      </c>
      <c r="D464" s="5" t="s">
        <v>293</v>
      </c>
      <c r="E464" s="5" t="s">
        <v>294</v>
      </c>
      <c r="F464" s="5">
        <v>0.12280000000000001</v>
      </c>
    </row>
    <row r="465" spans="1:6" x14ac:dyDescent="0.3">
      <c r="A465" s="4" t="s">
        <v>8</v>
      </c>
      <c r="B465" s="4" t="s">
        <v>174</v>
      </c>
      <c r="C465" s="5" t="s">
        <v>295</v>
      </c>
      <c r="D465" s="5" t="s">
        <v>296</v>
      </c>
      <c r="E465" s="5" t="s">
        <v>297</v>
      </c>
      <c r="F465" s="5" t="s">
        <v>298</v>
      </c>
    </row>
    <row r="466" spans="1:6" ht="28.8" x14ac:dyDescent="0.3">
      <c r="A466" s="4" t="s">
        <v>8</v>
      </c>
      <c r="B466" s="4" t="s">
        <v>175</v>
      </c>
      <c r="C466" s="5" t="s">
        <v>299</v>
      </c>
      <c r="D466" s="5" t="s">
        <v>300</v>
      </c>
      <c r="E466" s="5" t="s">
        <v>301</v>
      </c>
      <c r="F466" s="5" t="s">
        <v>302</v>
      </c>
    </row>
    <row r="469" spans="1:6" x14ac:dyDescent="0.3">
      <c r="A469" s="4" t="s">
        <v>303</v>
      </c>
    </row>
    <row r="470" spans="1:6" x14ac:dyDescent="0.3">
      <c r="A470" s="3" t="s">
        <v>169</v>
      </c>
      <c r="B470" s="3" t="s">
        <v>170</v>
      </c>
      <c r="C470" s="3" t="s">
        <v>9</v>
      </c>
      <c r="D470" s="3" t="s">
        <v>34</v>
      </c>
      <c r="E470" s="3" t="s">
        <v>35</v>
      </c>
      <c r="F470" s="3" t="s">
        <v>36</v>
      </c>
    </row>
    <row r="471" spans="1:6" x14ac:dyDescent="0.3">
      <c r="A471" s="4" t="s">
        <v>6</v>
      </c>
      <c r="B471" s="4" t="s">
        <v>171</v>
      </c>
      <c r="C471" s="5" t="s">
        <v>304</v>
      </c>
      <c r="D471" s="5" t="s">
        <v>305</v>
      </c>
      <c r="E471" s="5" t="s">
        <v>306</v>
      </c>
      <c r="F471" s="5" t="s">
        <v>307</v>
      </c>
    </row>
    <row r="472" spans="1:6" x14ac:dyDescent="0.3">
      <c r="A472" s="4" t="s">
        <v>6</v>
      </c>
      <c r="B472" s="4" t="s">
        <v>173</v>
      </c>
      <c r="C472" s="5">
        <v>0.18917</v>
      </c>
      <c r="D472" s="5">
        <v>2.597E-2</v>
      </c>
      <c r="E472" s="5">
        <v>0.11473999999999999</v>
      </c>
      <c r="F472" s="5">
        <v>0.28950999999999999</v>
      </c>
    </row>
    <row r="473" spans="1:6" x14ac:dyDescent="0.3">
      <c r="A473" s="4" t="s">
        <v>6</v>
      </c>
      <c r="B473" s="4" t="s">
        <v>174</v>
      </c>
      <c r="C473" s="5">
        <v>0.15645000000000001</v>
      </c>
      <c r="D473" s="5">
        <v>0.22609000000000001</v>
      </c>
      <c r="E473" s="5">
        <v>6.4659999999999995E-2</v>
      </c>
      <c r="F473" s="5" t="s">
        <v>308</v>
      </c>
    </row>
    <row r="474" spans="1:6" ht="28.8" x14ac:dyDescent="0.3">
      <c r="A474" s="4" t="s">
        <v>6</v>
      </c>
      <c r="B474" s="4" t="s">
        <v>175</v>
      </c>
      <c r="C474" s="5">
        <v>0.35476000000000002</v>
      </c>
      <c r="D474" s="5">
        <v>0.38135000000000002</v>
      </c>
      <c r="E474" s="5">
        <v>0.3382</v>
      </c>
      <c r="F474" s="5">
        <v>0.13553999999999999</v>
      </c>
    </row>
    <row r="475" spans="1:6" x14ac:dyDescent="0.3">
      <c r="A475" s="4" t="s">
        <v>7</v>
      </c>
      <c r="B475" s="4" t="s">
        <v>171</v>
      </c>
      <c r="C475" s="5" t="s">
        <v>309</v>
      </c>
      <c r="D475" s="5" t="s">
        <v>310</v>
      </c>
      <c r="E475" s="5" t="s">
        <v>311</v>
      </c>
      <c r="F475" s="5" t="s">
        <v>312</v>
      </c>
    </row>
    <row r="476" spans="1:6" x14ac:dyDescent="0.3">
      <c r="A476" s="4" t="s">
        <v>7</v>
      </c>
      <c r="B476" s="4" t="s">
        <v>173</v>
      </c>
      <c r="C476" s="5">
        <v>0.16169</v>
      </c>
      <c r="D476" s="5">
        <v>9.7689999999999999E-2</v>
      </c>
      <c r="E476" s="5">
        <v>0.151</v>
      </c>
      <c r="F476" s="5">
        <v>0.26429000000000002</v>
      </c>
    </row>
    <row r="477" spans="1:6" x14ac:dyDescent="0.3">
      <c r="A477" s="4" t="s">
        <v>7</v>
      </c>
      <c r="B477" s="4" t="s">
        <v>174</v>
      </c>
      <c r="C477" s="5">
        <v>0.15928999999999999</v>
      </c>
      <c r="D477" s="5">
        <v>0.23494999999999999</v>
      </c>
      <c r="E477" s="5">
        <v>5.0729999999999997E-2</v>
      </c>
      <c r="F477" s="5" t="s">
        <v>313</v>
      </c>
    </row>
    <row r="478" spans="1:6" ht="28.8" x14ac:dyDescent="0.3">
      <c r="A478" s="4" t="s">
        <v>7</v>
      </c>
      <c r="B478" s="4" t="s">
        <v>175</v>
      </c>
      <c r="C478" s="5">
        <v>0.32828000000000002</v>
      </c>
      <c r="D478" s="5">
        <v>0.27324999999999999</v>
      </c>
      <c r="E478" s="5">
        <v>0.14262</v>
      </c>
      <c r="F478" s="5">
        <v>0.10657999999999999</v>
      </c>
    </row>
    <row r="479" spans="1:6" x14ac:dyDescent="0.3">
      <c r="A479" s="4" t="s">
        <v>8</v>
      </c>
      <c r="B479" s="4" t="s">
        <v>171</v>
      </c>
      <c r="C479" s="5" t="s">
        <v>314</v>
      </c>
      <c r="D479" s="5" t="s">
        <v>315</v>
      </c>
      <c r="E479" s="5" t="s">
        <v>316</v>
      </c>
      <c r="F479" s="5" t="s">
        <v>317</v>
      </c>
    </row>
    <row r="480" spans="1:6" x14ac:dyDescent="0.3">
      <c r="A480" s="4" t="s">
        <v>8</v>
      </c>
      <c r="B480" s="4" t="s">
        <v>173</v>
      </c>
      <c r="C480" s="5" t="s">
        <v>318</v>
      </c>
      <c r="D480" s="5" t="s">
        <v>319</v>
      </c>
      <c r="E480" s="5" t="s">
        <v>320</v>
      </c>
      <c r="F480" s="5">
        <v>5.3129999999999997E-2</v>
      </c>
    </row>
    <row r="481" spans="1:6" x14ac:dyDescent="0.3">
      <c r="A481" s="4" t="s">
        <v>8</v>
      </c>
      <c r="B481" s="4" t="s">
        <v>174</v>
      </c>
      <c r="C481" s="5" t="s">
        <v>321</v>
      </c>
      <c r="D481" s="5" t="s">
        <v>322</v>
      </c>
      <c r="E481" s="5" t="s">
        <v>323</v>
      </c>
      <c r="F481" s="5" t="s">
        <v>324</v>
      </c>
    </row>
    <row r="482" spans="1:6" ht="28.8" x14ac:dyDescent="0.3">
      <c r="A482" s="4" t="s">
        <v>8</v>
      </c>
      <c r="B482" s="4" t="s">
        <v>175</v>
      </c>
      <c r="C482" s="5" t="s">
        <v>325</v>
      </c>
      <c r="D482" s="5" t="s">
        <v>326</v>
      </c>
      <c r="E482" s="5" t="s">
        <v>327</v>
      </c>
      <c r="F482" s="5" t="s">
        <v>328</v>
      </c>
    </row>
    <row r="485" spans="1:6" x14ac:dyDescent="0.3">
      <c r="A485" s="4" t="s">
        <v>329</v>
      </c>
    </row>
    <row r="486" spans="1:6" x14ac:dyDescent="0.3">
      <c r="A486" s="3" t="s">
        <v>169</v>
      </c>
      <c r="B486" s="3" t="s">
        <v>170</v>
      </c>
      <c r="C486" s="3" t="s">
        <v>9</v>
      </c>
      <c r="D486" s="3" t="s">
        <v>34</v>
      </c>
      <c r="E486" s="3" t="s">
        <v>35</v>
      </c>
      <c r="F486" s="3" t="s">
        <v>36</v>
      </c>
    </row>
    <row r="487" spans="1:6" x14ac:dyDescent="0.3">
      <c r="A487" s="4" t="s">
        <v>6</v>
      </c>
      <c r="B487" s="4" t="s">
        <v>171</v>
      </c>
      <c r="C487" s="5" t="s">
        <v>330</v>
      </c>
      <c r="D487" s="5">
        <v>0.19569</v>
      </c>
      <c r="E487" s="5" t="s">
        <v>331</v>
      </c>
      <c r="F487" s="5" t="s">
        <v>332</v>
      </c>
    </row>
    <row r="488" spans="1:6" x14ac:dyDescent="0.3">
      <c r="A488" s="4" t="s">
        <v>6</v>
      </c>
      <c r="B488" s="4" t="s">
        <v>173</v>
      </c>
      <c r="C488" s="5">
        <v>7.1429999999999993E-2</v>
      </c>
      <c r="D488" s="5">
        <v>0.21354000000000001</v>
      </c>
      <c r="E488" s="5">
        <v>4.4400000000000002E-2</v>
      </c>
      <c r="F488" s="5">
        <v>5.6050000000000003E-2</v>
      </c>
    </row>
    <row r="489" spans="1:6" x14ac:dyDescent="0.3">
      <c r="A489" s="4" t="s">
        <v>6</v>
      </c>
      <c r="B489" s="4" t="s">
        <v>174</v>
      </c>
      <c r="C489" s="5" t="s">
        <v>333</v>
      </c>
      <c r="D489" s="5" t="s">
        <v>334</v>
      </c>
      <c r="E489" s="5" t="s">
        <v>335</v>
      </c>
      <c r="F489" s="5">
        <v>3.125E-2</v>
      </c>
    </row>
    <row r="490" spans="1:6" ht="28.8" x14ac:dyDescent="0.3">
      <c r="A490" s="4" t="s">
        <v>6</v>
      </c>
      <c r="B490" s="4" t="s">
        <v>175</v>
      </c>
      <c r="C490" s="5" t="s">
        <v>336</v>
      </c>
      <c r="D490" s="5" t="s">
        <v>337</v>
      </c>
      <c r="E490" s="5" t="s">
        <v>338</v>
      </c>
      <c r="F490" s="5">
        <v>0.11285000000000001</v>
      </c>
    </row>
    <row r="491" spans="1:6" x14ac:dyDescent="0.3">
      <c r="A491" s="4" t="s">
        <v>7</v>
      </c>
      <c r="B491" s="4" t="s">
        <v>171</v>
      </c>
      <c r="C491" s="5">
        <v>1.6119999999999999E-2</v>
      </c>
      <c r="D491" s="5">
        <v>0.26934999999999998</v>
      </c>
      <c r="E491" s="5">
        <v>0.15575</v>
      </c>
      <c r="F491" s="5" t="s">
        <v>339</v>
      </c>
    </row>
    <row r="492" spans="1:6" x14ac:dyDescent="0.3">
      <c r="A492" s="4" t="s">
        <v>7</v>
      </c>
      <c r="B492" s="4" t="s">
        <v>173</v>
      </c>
      <c r="C492" s="5">
        <v>0.1923</v>
      </c>
      <c r="D492" s="5">
        <v>0.38178000000000001</v>
      </c>
      <c r="E492" s="5">
        <v>0.36292999999999997</v>
      </c>
      <c r="F492" s="5">
        <v>0.18559999999999999</v>
      </c>
    </row>
    <row r="493" spans="1:6" x14ac:dyDescent="0.3">
      <c r="A493" s="4" t="s">
        <v>7</v>
      </c>
      <c r="B493" s="4" t="s">
        <v>174</v>
      </c>
      <c r="C493" s="5" t="s">
        <v>340</v>
      </c>
      <c r="D493" s="5" t="s">
        <v>341</v>
      </c>
      <c r="E493" s="5" t="s">
        <v>342</v>
      </c>
      <c r="F493" s="5" t="s">
        <v>343</v>
      </c>
    </row>
    <row r="494" spans="1:6" ht="28.8" x14ac:dyDescent="0.3">
      <c r="A494" s="4" t="s">
        <v>7</v>
      </c>
      <c r="B494" s="4" t="s">
        <v>175</v>
      </c>
      <c r="C494" s="5">
        <v>0.01</v>
      </c>
      <c r="D494" s="5">
        <v>2.8850000000000001E-2</v>
      </c>
      <c r="E494" s="5" t="s">
        <v>344</v>
      </c>
      <c r="F494" s="5">
        <v>0.20346</v>
      </c>
    </row>
    <row r="495" spans="1:6" x14ac:dyDescent="0.3">
      <c r="A495" s="4" t="s">
        <v>8</v>
      </c>
      <c r="B495" s="4" t="s">
        <v>171</v>
      </c>
      <c r="C495" s="5">
        <v>6.3490000000000005E-2</v>
      </c>
      <c r="D495" s="5">
        <v>0.22644</v>
      </c>
      <c r="E495" s="5">
        <v>1.538E-2</v>
      </c>
      <c r="F495" s="5" t="s">
        <v>345</v>
      </c>
    </row>
    <row r="496" spans="1:6" x14ac:dyDescent="0.3">
      <c r="A496" s="4" t="s">
        <v>8</v>
      </c>
      <c r="B496" s="4" t="s">
        <v>173</v>
      </c>
      <c r="C496" s="5">
        <v>0.13269</v>
      </c>
      <c r="D496" s="5">
        <v>0.20510999999999999</v>
      </c>
      <c r="E496" s="5">
        <v>6.45E-3</v>
      </c>
      <c r="F496" s="5" t="s">
        <v>346</v>
      </c>
    </row>
    <row r="497" spans="1:6" x14ac:dyDescent="0.3">
      <c r="A497" s="4" t="s">
        <v>8</v>
      </c>
      <c r="B497" s="4" t="s">
        <v>174</v>
      </c>
      <c r="C497" s="5" t="s">
        <v>347</v>
      </c>
      <c r="D497" s="5">
        <v>6.8199999999999997E-2</v>
      </c>
      <c r="E497" s="5" t="s">
        <v>348</v>
      </c>
      <c r="F497" s="5">
        <v>5.0599999999999999E-2</v>
      </c>
    </row>
    <row r="498" spans="1:6" ht="28.8" x14ac:dyDescent="0.3">
      <c r="A498" s="4" t="s">
        <v>8</v>
      </c>
      <c r="B498" s="4" t="s">
        <v>175</v>
      </c>
      <c r="C498" s="5" t="s">
        <v>349</v>
      </c>
      <c r="D498" s="5">
        <v>4.7870000000000003E-2</v>
      </c>
      <c r="E498" s="5" t="s">
        <v>350</v>
      </c>
      <c r="F498" s="5" t="s">
        <v>351</v>
      </c>
    </row>
    <row r="501" spans="1:6" x14ac:dyDescent="0.3">
      <c r="A501" s="4" t="s">
        <v>352</v>
      </c>
    </row>
    <row r="502" spans="1:6" x14ac:dyDescent="0.3">
      <c r="A502" s="3" t="s">
        <v>169</v>
      </c>
      <c r="B502" s="3" t="s">
        <v>170</v>
      </c>
      <c r="C502" s="3" t="s">
        <v>9</v>
      </c>
      <c r="D502" s="3" t="s">
        <v>34</v>
      </c>
      <c r="E502" s="3" t="s">
        <v>35</v>
      </c>
      <c r="F502" s="3" t="s">
        <v>36</v>
      </c>
    </row>
    <row r="503" spans="1:6" x14ac:dyDescent="0.3">
      <c r="A503" s="4" t="s">
        <v>6</v>
      </c>
      <c r="B503" s="4" t="s">
        <v>171</v>
      </c>
      <c r="C503" s="5" t="s">
        <v>353</v>
      </c>
      <c r="D503" s="5" t="s">
        <v>354</v>
      </c>
      <c r="E503" s="5" t="s">
        <v>355</v>
      </c>
      <c r="F503" s="5">
        <v>7.5000000000000002E-4</v>
      </c>
    </row>
    <row r="504" spans="1:6" x14ac:dyDescent="0.3">
      <c r="A504" s="4" t="s">
        <v>6</v>
      </c>
      <c r="B504" s="4" t="s">
        <v>173</v>
      </c>
      <c r="C504" s="5">
        <v>0.23916999999999999</v>
      </c>
      <c r="D504" s="5">
        <v>0.22947999999999999</v>
      </c>
      <c r="E504" s="5">
        <v>0.12544</v>
      </c>
      <c r="F504" s="5">
        <v>0.45278000000000002</v>
      </c>
    </row>
    <row r="505" spans="1:6" x14ac:dyDescent="0.3">
      <c r="A505" s="4" t="s">
        <v>6</v>
      </c>
      <c r="B505" s="4" t="s">
        <v>174</v>
      </c>
      <c r="C505" s="5" t="s">
        <v>356</v>
      </c>
      <c r="D505" s="5" t="s">
        <v>357</v>
      </c>
      <c r="E505" s="5" t="s">
        <v>358</v>
      </c>
      <c r="F505" s="5" t="s">
        <v>359</v>
      </c>
    </row>
    <row r="506" spans="1:6" ht="28.8" x14ac:dyDescent="0.3">
      <c r="A506" s="4" t="s">
        <v>6</v>
      </c>
      <c r="B506" s="4" t="s">
        <v>175</v>
      </c>
      <c r="C506" s="5">
        <v>0.22170999999999999</v>
      </c>
      <c r="D506" s="5">
        <v>0.20233999999999999</v>
      </c>
      <c r="E506" s="5">
        <v>0.22975999999999999</v>
      </c>
      <c r="F506" s="5">
        <v>0.10614999999999999</v>
      </c>
    </row>
    <row r="507" spans="1:6" x14ac:dyDescent="0.3">
      <c r="A507" s="4" t="s">
        <v>7</v>
      </c>
      <c r="B507" s="4" t="s">
        <v>171</v>
      </c>
      <c r="C507" s="5" t="s">
        <v>360</v>
      </c>
      <c r="D507" s="5" t="s">
        <v>361</v>
      </c>
      <c r="E507" s="5" t="s">
        <v>362</v>
      </c>
      <c r="F507" s="5" t="s">
        <v>363</v>
      </c>
    </row>
    <row r="508" spans="1:6" x14ac:dyDescent="0.3">
      <c r="A508" s="4" t="s">
        <v>7</v>
      </c>
      <c r="B508" s="4" t="s">
        <v>173</v>
      </c>
      <c r="C508" s="5">
        <v>0.19309999999999999</v>
      </c>
      <c r="D508" s="5">
        <v>0.15967999999999999</v>
      </c>
      <c r="E508" s="5">
        <v>0.20868999999999999</v>
      </c>
      <c r="F508" s="5">
        <v>0.31324999999999997</v>
      </c>
    </row>
    <row r="509" spans="1:6" x14ac:dyDescent="0.3">
      <c r="A509" s="4" t="s">
        <v>7</v>
      </c>
      <c r="B509" s="4" t="s">
        <v>174</v>
      </c>
      <c r="C509" s="5" t="s">
        <v>364</v>
      </c>
      <c r="D509" s="5" t="s">
        <v>365</v>
      </c>
      <c r="E509" s="5" t="s">
        <v>366</v>
      </c>
      <c r="F509" s="5" t="s">
        <v>367</v>
      </c>
    </row>
    <row r="510" spans="1:6" ht="28.8" x14ac:dyDescent="0.3">
      <c r="A510" s="4" t="s">
        <v>7</v>
      </c>
      <c r="B510" s="4" t="s">
        <v>175</v>
      </c>
      <c r="C510" s="5">
        <v>7.8810000000000005E-2</v>
      </c>
      <c r="D510" s="5">
        <v>2.4670000000000001E-2</v>
      </c>
      <c r="E510" s="5">
        <v>1.204E-2</v>
      </c>
      <c r="F510" s="5" t="s">
        <v>368</v>
      </c>
    </row>
    <row r="511" spans="1:6" x14ac:dyDescent="0.3">
      <c r="A511" s="4" t="s">
        <v>8</v>
      </c>
      <c r="B511" s="4" t="s">
        <v>171</v>
      </c>
      <c r="C511" s="5" t="s">
        <v>369</v>
      </c>
      <c r="D511" s="5" t="s">
        <v>370</v>
      </c>
      <c r="E511" s="5" t="s">
        <v>371</v>
      </c>
      <c r="F511" s="5" t="s">
        <v>372</v>
      </c>
    </row>
    <row r="512" spans="1:6" x14ac:dyDescent="0.3">
      <c r="A512" s="4" t="s">
        <v>8</v>
      </c>
      <c r="B512" s="4" t="s">
        <v>173</v>
      </c>
      <c r="C512" s="5" t="s">
        <v>373</v>
      </c>
      <c r="D512" s="5" t="s">
        <v>374</v>
      </c>
      <c r="E512" s="5" t="s">
        <v>375</v>
      </c>
      <c r="F512" s="5">
        <v>4.1610000000000001E-2</v>
      </c>
    </row>
    <row r="513" spans="1:6" x14ac:dyDescent="0.3">
      <c r="A513" s="4" t="s">
        <v>8</v>
      </c>
      <c r="B513" s="4" t="s">
        <v>174</v>
      </c>
      <c r="C513" s="5" t="s">
        <v>376</v>
      </c>
      <c r="D513" s="5" t="s">
        <v>377</v>
      </c>
      <c r="E513" s="5" t="s">
        <v>378</v>
      </c>
      <c r="F513" s="5" t="s">
        <v>326</v>
      </c>
    </row>
    <row r="514" spans="1:6" ht="28.8" x14ac:dyDescent="0.3">
      <c r="A514" s="4" t="s">
        <v>8</v>
      </c>
      <c r="B514" s="4" t="s">
        <v>175</v>
      </c>
      <c r="C514" s="5" t="s">
        <v>379</v>
      </c>
      <c r="D514" s="5" t="s">
        <v>380</v>
      </c>
      <c r="E514" s="5" t="s">
        <v>381</v>
      </c>
      <c r="F514" s="5" t="s">
        <v>382</v>
      </c>
    </row>
    <row r="517" spans="1:6" x14ac:dyDescent="0.3">
      <c r="B517" s="7" t="s">
        <v>405</v>
      </c>
      <c r="C517" s="7"/>
      <c r="D517" s="7"/>
    </row>
    <row r="518" spans="1:6" x14ac:dyDescent="0.3">
      <c r="A518" t="s">
        <v>403</v>
      </c>
      <c r="B518" t="s">
        <v>6</v>
      </c>
      <c r="C518" t="s">
        <v>7</v>
      </c>
      <c r="D518" t="s">
        <v>8</v>
      </c>
    </row>
    <row r="519" spans="1:6" x14ac:dyDescent="0.3">
      <c r="A519">
        <v>500</v>
      </c>
      <c r="B519">
        <v>135</v>
      </c>
      <c r="C519">
        <v>105</v>
      </c>
      <c r="D519">
        <v>65</v>
      </c>
    </row>
    <row r="520" spans="1:6" x14ac:dyDescent="0.3">
      <c r="A520">
        <v>1000</v>
      </c>
      <c r="B520">
        <v>190</v>
      </c>
      <c r="C520">
        <v>215</v>
      </c>
      <c r="D520">
        <v>200</v>
      </c>
    </row>
    <row r="521" spans="1:6" x14ac:dyDescent="0.3">
      <c r="A521">
        <v>1500</v>
      </c>
      <c r="B521">
        <v>380</v>
      </c>
      <c r="C521">
        <v>375</v>
      </c>
      <c r="D521">
        <v>300</v>
      </c>
    </row>
    <row r="522" spans="1:6" x14ac:dyDescent="0.3">
      <c r="A522">
        <v>3000</v>
      </c>
      <c r="B522">
        <v>380</v>
      </c>
      <c r="C522">
        <v>370</v>
      </c>
      <c r="D522">
        <v>365</v>
      </c>
    </row>
    <row r="524" spans="1:6" x14ac:dyDescent="0.3">
      <c r="B524" s="7" t="s">
        <v>406</v>
      </c>
      <c r="C524" s="7"/>
      <c r="D524" s="7"/>
    </row>
    <row r="525" spans="1:6" x14ac:dyDescent="0.3">
      <c r="A525" t="s">
        <v>403</v>
      </c>
      <c r="B525" t="s">
        <v>6</v>
      </c>
      <c r="C525" t="s">
        <v>7</v>
      </c>
      <c r="D525" t="s">
        <v>8</v>
      </c>
    </row>
    <row r="526" spans="1:6" x14ac:dyDescent="0.3">
      <c r="A526">
        <v>500</v>
      </c>
      <c r="B526">
        <v>25</v>
      </c>
      <c r="C526">
        <v>60</v>
      </c>
      <c r="D526">
        <v>25</v>
      </c>
    </row>
    <row r="527" spans="1:6" x14ac:dyDescent="0.3">
      <c r="A527">
        <v>1000</v>
      </c>
      <c r="B527">
        <v>15</v>
      </c>
      <c r="C527">
        <v>10</v>
      </c>
      <c r="D527">
        <v>15</v>
      </c>
    </row>
    <row r="528" spans="1:6" x14ac:dyDescent="0.3">
      <c r="A528">
        <v>1500</v>
      </c>
      <c r="B528">
        <v>10</v>
      </c>
      <c r="C528">
        <v>10</v>
      </c>
      <c r="D528">
        <v>115</v>
      </c>
    </row>
    <row r="529" spans="1:4" x14ac:dyDescent="0.3">
      <c r="A529">
        <v>3000</v>
      </c>
      <c r="B529">
        <v>380</v>
      </c>
      <c r="C529">
        <v>380</v>
      </c>
      <c r="D529">
        <v>380</v>
      </c>
    </row>
    <row r="531" spans="1:4" x14ac:dyDescent="0.3">
      <c r="B531" s="7" t="s">
        <v>407</v>
      </c>
      <c r="C531" s="7"/>
      <c r="D531" s="7"/>
    </row>
    <row r="532" spans="1:4" x14ac:dyDescent="0.3">
      <c r="A532" t="s">
        <v>403</v>
      </c>
      <c r="B532" t="s">
        <v>6</v>
      </c>
      <c r="C532" t="s">
        <v>7</v>
      </c>
      <c r="D532" t="s">
        <v>8</v>
      </c>
    </row>
    <row r="533" spans="1:4" x14ac:dyDescent="0.3">
      <c r="A533">
        <v>500</v>
      </c>
      <c r="B533" t="s">
        <v>135</v>
      </c>
      <c r="C533" t="s">
        <v>135</v>
      </c>
      <c r="D533" t="s">
        <v>138</v>
      </c>
    </row>
    <row r="534" spans="1:4" x14ac:dyDescent="0.3">
      <c r="A534">
        <v>1000</v>
      </c>
      <c r="B534" t="s">
        <v>135</v>
      </c>
      <c r="C534" t="s">
        <v>135</v>
      </c>
      <c r="D534" t="s">
        <v>151</v>
      </c>
    </row>
    <row r="535" spans="1:4" x14ac:dyDescent="0.3">
      <c r="A535">
        <v>1500</v>
      </c>
      <c r="B535" t="s">
        <v>135</v>
      </c>
      <c r="C535" t="s">
        <v>135</v>
      </c>
      <c r="D535" t="s">
        <v>157</v>
      </c>
    </row>
    <row r="536" spans="1:4" x14ac:dyDescent="0.3">
      <c r="A536">
        <v>3000</v>
      </c>
      <c r="B536" t="s">
        <v>141</v>
      </c>
      <c r="C536" t="s">
        <v>141</v>
      </c>
      <c r="D536" t="s">
        <v>159</v>
      </c>
    </row>
  </sheetData>
  <mergeCells count="3">
    <mergeCell ref="B517:D517"/>
    <mergeCell ref="B524:D524"/>
    <mergeCell ref="B531:D5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8F73-8E78-4450-8D4A-C147A916D3F4}">
  <dimension ref="A1:F220"/>
  <sheetViews>
    <sheetView topLeftCell="A190" workbookViewId="0">
      <selection activeCell="B210" sqref="B210"/>
    </sheetView>
  </sheetViews>
  <sheetFormatPr defaultRowHeight="14.4" x14ac:dyDescent="0.3"/>
  <cols>
    <col min="1" max="1" width="13.109375" customWidth="1"/>
    <col min="2" max="2" width="20.109375" customWidth="1"/>
    <col min="3" max="6" width="13.109375" customWidth="1"/>
  </cols>
  <sheetData>
    <row r="1" spans="1:6" ht="15.6" customHeight="1" x14ac:dyDescent="0.3">
      <c r="A1" t="s">
        <v>37</v>
      </c>
    </row>
    <row r="2" spans="1:6" ht="15.6" customHeight="1" x14ac:dyDescent="0.3">
      <c r="C2" t="s">
        <v>9</v>
      </c>
      <c r="D2" t="s">
        <v>34</v>
      </c>
      <c r="E2" t="s">
        <v>35</v>
      </c>
      <c r="F2" t="s">
        <v>36</v>
      </c>
    </row>
    <row r="3" spans="1:6" ht="15.6" customHeight="1" x14ac:dyDescent="0.3">
      <c r="A3" t="s">
        <v>169</v>
      </c>
      <c r="B3" t="s">
        <v>1</v>
      </c>
      <c r="C3" t="s">
        <v>38</v>
      </c>
      <c r="D3" t="s">
        <v>39</v>
      </c>
      <c r="E3" t="s">
        <v>40</v>
      </c>
      <c r="F3" t="s">
        <v>41</v>
      </c>
    </row>
    <row r="4" spans="1:6" ht="15.6" customHeight="1" x14ac:dyDescent="0.3">
      <c r="A4" t="s">
        <v>6</v>
      </c>
      <c r="B4">
        <v>0.5</v>
      </c>
      <c r="C4">
        <v>0.56241428571428498</v>
      </c>
      <c r="D4">
        <v>0.549828571428571</v>
      </c>
      <c r="E4" s="1">
        <v>0.53578571428571398</v>
      </c>
      <c r="F4" s="1">
        <v>0.55161428571428495</v>
      </c>
    </row>
    <row r="5" spans="1:6" ht="15.6" customHeight="1" x14ac:dyDescent="0.3">
      <c r="A5" t="s">
        <v>7</v>
      </c>
      <c r="B5">
        <v>0.52443333333333342</v>
      </c>
      <c r="C5">
        <v>0.59445714285714202</v>
      </c>
      <c r="D5">
        <v>0.55151428571428496</v>
      </c>
      <c r="E5" s="1">
        <v>0.57708571428571398</v>
      </c>
      <c r="F5" s="1">
        <v>0.60468571428571405</v>
      </c>
    </row>
    <row r="6" spans="1:6" ht="15.6" customHeight="1" x14ac:dyDescent="0.3">
      <c r="A6" t="s">
        <v>8</v>
      </c>
      <c r="B6">
        <v>0.52903333333333336</v>
      </c>
      <c r="C6">
        <v>0.62461428571428501</v>
      </c>
      <c r="D6">
        <v>0.54534285714285702</v>
      </c>
      <c r="E6" s="1">
        <v>0.558642857142857</v>
      </c>
      <c r="F6" s="1">
        <v>0.56982857142857102</v>
      </c>
    </row>
    <row r="7" spans="1:6" ht="15.6" customHeight="1" x14ac:dyDescent="0.3"/>
    <row r="8" spans="1:6" ht="15.6" customHeight="1" x14ac:dyDescent="0.3">
      <c r="A8" t="s">
        <v>0</v>
      </c>
    </row>
    <row r="9" spans="1:6" ht="15.6" customHeight="1" x14ac:dyDescent="0.3">
      <c r="A9" s="3" t="s">
        <v>169</v>
      </c>
      <c r="B9" s="3" t="s">
        <v>170</v>
      </c>
      <c r="C9" s="3" t="s">
        <v>9</v>
      </c>
      <c r="D9" s="3" t="s">
        <v>34</v>
      </c>
      <c r="E9" s="3" t="s">
        <v>35</v>
      </c>
      <c r="F9" s="3" t="s">
        <v>36</v>
      </c>
    </row>
    <row r="10" spans="1:6" ht="15.6" customHeight="1" x14ac:dyDescent="0.3">
      <c r="A10" s="4" t="s">
        <v>6</v>
      </c>
      <c r="B10" s="4" t="s">
        <v>171</v>
      </c>
      <c r="C10" s="5">
        <v>0.1191</v>
      </c>
      <c r="D10" s="5">
        <v>9.6000000000000002E-2</v>
      </c>
      <c r="E10" s="5">
        <v>0.14630000000000001</v>
      </c>
      <c r="F10" s="5" t="s">
        <v>172</v>
      </c>
    </row>
    <row r="11" spans="1:6" ht="15.6" customHeight="1" x14ac:dyDescent="0.3">
      <c r="A11" s="4" t="s">
        <v>6</v>
      </c>
      <c r="B11" s="4" t="s">
        <v>173</v>
      </c>
      <c r="C11" s="5">
        <v>0.18149999999999999</v>
      </c>
      <c r="D11" s="5">
        <v>0.14580000000000001</v>
      </c>
      <c r="E11" s="5">
        <v>0.18210000000000001</v>
      </c>
      <c r="F11" s="5">
        <v>5.1400000000000001E-2</v>
      </c>
    </row>
    <row r="12" spans="1:6" ht="15.6" customHeight="1" x14ac:dyDescent="0.3">
      <c r="A12" s="4" t="s">
        <v>6</v>
      </c>
      <c r="B12" s="4" t="s">
        <v>174</v>
      </c>
      <c r="C12" s="5">
        <v>0.1116</v>
      </c>
      <c r="D12" s="5">
        <v>0.12809999999999999</v>
      </c>
      <c r="E12" s="5">
        <v>0.12839999999999999</v>
      </c>
      <c r="F12" s="5">
        <v>7.9000000000000008E-3</v>
      </c>
    </row>
    <row r="13" spans="1:6" ht="15.6" customHeight="1" x14ac:dyDescent="0.3">
      <c r="A13" s="4" t="s">
        <v>6</v>
      </c>
      <c r="B13" s="4" t="s">
        <v>175</v>
      </c>
      <c r="C13" s="5">
        <v>0.17399999999999999</v>
      </c>
      <c r="D13" s="5">
        <v>0.1779</v>
      </c>
      <c r="E13" s="5">
        <v>0.16420000000000001</v>
      </c>
      <c r="F13" s="5">
        <v>4.3700000000000003E-2</v>
      </c>
    </row>
    <row r="14" spans="1:6" ht="15.6" customHeight="1" x14ac:dyDescent="0.3">
      <c r="A14" s="4" t="s">
        <v>7</v>
      </c>
      <c r="B14" s="4" t="s">
        <v>171</v>
      </c>
      <c r="C14" s="5">
        <v>2.4400000000000002E-2</v>
      </c>
      <c r="D14" s="5">
        <v>6.6299999999999998E-2</v>
      </c>
      <c r="E14" s="5">
        <v>0.1149</v>
      </c>
      <c r="F14" s="5">
        <v>2.1700000000000001E-2</v>
      </c>
    </row>
    <row r="15" spans="1:6" ht="15.6" customHeight="1" x14ac:dyDescent="0.3">
      <c r="A15" s="4" t="s">
        <v>7</v>
      </c>
      <c r="B15" s="4" t="s">
        <v>173</v>
      </c>
      <c r="C15" s="5">
        <v>8.0299999999999996E-2</v>
      </c>
      <c r="D15" s="5">
        <v>2.4400000000000002E-2</v>
      </c>
      <c r="E15" s="5">
        <v>0.1149</v>
      </c>
      <c r="F15" s="5">
        <v>0.16750000000000001</v>
      </c>
    </row>
    <row r="16" spans="1:6" ht="15.6" customHeight="1" x14ac:dyDescent="0.3">
      <c r="A16" s="4" t="s">
        <v>7</v>
      </c>
      <c r="B16" s="4" t="s">
        <v>174</v>
      </c>
      <c r="C16" s="5">
        <v>8.3299999999999999E-2</v>
      </c>
      <c r="D16" s="5">
        <v>7.9299999999999995E-2</v>
      </c>
      <c r="E16" s="5">
        <v>0.12659999999999999</v>
      </c>
      <c r="F16" s="5" t="s">
        <v>176</v>
      </c>
    </row>
    <row r="17" spans="1:6" ht="15.6" customHeight="1" x14ac:dyDescent="0.3">
      <c r="A17" s="4" t="s">
        <v>7</v>
      </c>
      <c r="B17" s="4" t="s">
        <v>175</v>
      </c>
      <c r="C17" s="5">
        <v>6.0299999999999999E-2</v>
      </c>
      <c r="D17" s="5">
        <v>7.9299999999999995E-2</v>
      </c>
      <c r="E17" s="5">
        <v>0.12620000000000001</v>
      </c>
      <c r="F17" s="5" t="s">
        <v>177</v>
      </c>
    </row>
    <row r="18" spans="1:6" ht="15.6" customHeight="1" x14ac:dyDescent="0.3">
      <c r="A18" s="4" t="s">
        <v>8</v>
      </c>
      <c r="B18" s="4" t="s">
        <v>171</v>
      </c>
      <c r="C18" s="5" t="s">
        <v>178</v>
      </c>
      <c r="D18" s="5">
        <v>1.5100000000000001E-2</v>
      </c>
      <c r="E18" s="5">
        <v>5.5E-2</v>
      </c>
      <c r="F18" s="5" t="s">
        <v>179</v>
      </c>
    </row>
    <row r="19" spans="1:6" ht="15.6" customHeight="1" x14ac:dyDescent="0.3">
      <c r="A19" s="4" t="s">
        <v>8</v>
      </c>
      <c r="B19" s="4" t="s">
        <v>173</v>
      </c>
      <c r="C19" s="5">
        <v>9.1899999999999996E-2</v>
      </c>
      <c r="D19" s="5" t="s">
        <v>180</v>
      </c>
      <c r="E19" s="5">
        <v>8.5599999999999996E-2</v>
      </c>
      <c r="F19" s="5">
        <v>3.1099999999999999E-2</v>
      </c>
    </row>
    <row r="20" spans="1:6" ht="15.6" customHeight="1" x14ac:dyDescent="0.3">
      <c r="A20" s="4" t="s">
        <v>8</v>
      </c>
      <c r="B20" s="4" t="s">
        <v>174</v>
      </c>
      <c r="C20" s="5" t="s">
        <v>181</v>
      </c>
      <c r="D20" s="5" t="s">
        <v>182</v>
      </c>
      <c r="E20" s="5">
        <v>9.6600000000000005E-2</v>
      </c>
      <c r="F20" s="5" t="s">
        <v>183</v>
      </c>
    </row>
    <row r="21" spans="1:6" ht="15.6" customHeight="1" x14ac:dyDescent="0.3">
      <c r="A21" s="4" t="s">
        <v>8</v>
      </c>
      <c r="B21" s="4" t="s">
        <v>175</v>
      </c>
      <c r="C21" s="5">
        <v>2.1000000000000001E-2</v>
      </c>
      <c r="D21" s="5" t="s">
        <v>184</v>
      </c>
      <c r="E21" s="5">
        <v>9.6600000000000005E-2</v>
      </c>
      <c r="F21" s="5">
        <v>2.7000000000000001E-3</v>
      </c>
    </row>
    <row r="24" spans="1:6" x14ac:dyDescent="0.3">
      <c r="A24" t="s">
        <v>51</v>
      </c>
    </row>
    <row r="25" spans="1:6" x14ac:dyDescent="0.3">
      <c r="C25" t="s">
        <v>9</v>
      </c>
      <c r="D25" t="s">
        <v>34</v>
      </c>
      <c r="E25" t="s">
        <v>35</v>
      </c>
      <c r="F25" t="s">
        <v>36</v>
      </c>
    </row>
    <row r="26" spans="1:6" x14ac:dyDescent="0.3">
      <c r="A26" t="s">
        <v>169</v>
      </c>
      <c r="B26" t="s">
        <v>1</v>
      </c>
      <c r="C26" t="s">
        <v>38</v>
      </c>
      <c r="D26" t="s">
        <v>39</v>
      </c>
      <c r="E26" t="s">
        <v>40</v>
      </c>
      <c r="F26" t="s">
        <v>41</v>
      </c>
    </row>
    <row r="27" spans="1:6" x14ac:dyDescent="0.3">
      <c r="A27" t="s">
        <v>6</v>
      </c>
      <c r="B27" s="1">
        <v>0.5</v>
      </c>
      <c r="C27" s="1">
        <v>0.738784</v>
      </c>
      <c r="D27" s="1">
        <v>0.72432099999999999</v>
      </c>
      <c r="E27" s="1">
        <v>0.83175900000000003</v>
      </c>
      <c r="F27" s="1">
        <v>0.83441600000000005</v>
      </c>
    </row>
    <row r="28" spans="1:6" x14ac:dyDescent="0.3">
      <c r="A28" t="s">
        <v>7</v>
      </c>
      <c r="B28" s="1">
        <v>0.59435300000000002</v>
      </c>
      <c r="C28" s="1">
        <v>0.69805200000000001</v>
      </c>
      <c r="D28" s="1">
        <v>0.73199499999999995</v>
      </c>
      <c r="E28" s="1">
        <v>0.85389599999999999</v>
      </c>
      <c r="F28" s="1">
        <v>0.84946900000000003</v>
      </c>
    </row>
    <row r="29" spans="1:6" x14ac:dyDescent="0.3">
      <c r="A29" t="s">
        <v>8</v>
      </c>
      <c r="B29" s="1">
        <v>0.81749300000000003</v>
      </c>
      <c r="C29" s="1">
        <v>0.65023600000000004</v>
      </c>
      <c r="D29" s="1">
        <v>0.71723700000000001</v>
      </c>
      <c r="E29" s="1">
        <v>0.83677699999999999</v>
      </c>
      <c r="F29" s="1">
        <v>0.85212500000000002</v>
      </c>
    </row>
    <row r="31" spans="1:6" x14ac:dyDescent="0.3">
      <c r="A31" t="s">
        <v>50</v>
      </c>
      <c r="B31" s="3"/>
      <c r="C31" s="3"/>
      <c r="D31" s="3"/>
      <c r="E31" s="3"/>
      <c r="F31" s="3"/>
    </row>
    <row r="32" spans="1:6" x14ac:dyDescent="0.3">
      <c r="A32" s="3" t="s">
        <v>169</v>
      </c>
      <c r="B32" s="3" t="s">
        <v>170</v>
      </c>
      <c r="C32" s="3" t="s">
        <v>9</v>
      </c>
      <c r="D32" s="3">
        <v>1000</v>
      </c>
      <c r="E32" s="3">
        <v>1500</v>
      </c>
      <c r="F32" s="3">
        <v>3000</v>
      </c>
    </row>
    <row r="33" spans="1:6" x14ac:dyDescent="0.3">
      <c r="A33" s="6" t="s">
        <v>6</v>
      </c>
      <c r="B33" s="4" t="s">
        <v>171</v>
      </c>
      <c r="C33" s="5" t="s">
        <v>185</v>
      </c>
      <c r="D33" s="5" t="s">
        <v>186</v>
      </c>
      <c r="E33" s="5" t="s">
        <v>395</v>
      </c>
      <c r="F33" s="5" t="s">
        <v>187</v>
      </c>
    </row>
    <row r="34" spans="1:6" x14ac:dyDescent="0.3">
      <c r="A34" s="6" t="s">
        <v>6</v>
      </c>
      <c r="B34" s="4" t="s">
        <v>173</v>
      </c>
      <c r="C34" s="5">
        <v>3.7999999999999999E-2</v>
      </c>
      <c r="D34" s="5" t="s">
        <v>188</v>
      </c>
      <c r="E34" s="5" t="s">
        <v>396</v>
      </c>
      <c r="F34" s="5">
        <v>0.33100000000000002</v>
      </c>
    </row>
    <row r="35" spans="1:6" x14ac:dyDescent="0.3">
      <c r="A35" s="6" t="s">
        <v>6</v>
      </c>
      <c r="B35" s="4" t="s">
        <v>174</v>
      </c>
      <c r="C35" s="5" t="s">
        <v>189</v>
      </c>
      <c r="D35" s="5" t="s">
        <v>190</v>
      </c>
      <c r="E35" s="5" t="s">
        <v>397</v>
      </c>
      <c r="F35" s="5" t="s">
        <v>191</v>
      </c>
    </row>
    <row r="36" spans="1:6" x14ac:dyDescent="0.3">
      <c r="A36" s="6" t="s">
        <v>6</v>
      </c>
      <c r="B36" s="4" t="s">
        <v>175</v>
      </c>
      <c r="C36" s="5" t="s">
        <v>192</v>
      </c>
      <c r="D36" s="5" t="s">
        <v>193</v>
      </c>
      <c r="E36" s="5">
        <v>0.13200000000000001</v>
      </c>
      <c r="F36" s="5">
        <v>2.8000000000000001E-2</v>
      </c>
    </row>
    <row r="37" spans="1:6" x14ac:dyDescent="0.3">
      <c r="A37" s="6" t="s">
        <v>7</v>
      </c>
      <c r="B37" s="4" t="s">
        <v>171</v>
      </c>
      <c r="C37" s="5">
        <v>2E-3</v>
      </c>
      <c r="D37" s="5" t="s">
        <v>194</v>
      </c>
      <c r="E37" s="5" t="s">
        <v>398</v>
      </c>
      <c r="F37" s="5" t="s">
        <v>195</v>
      </c>
    </row>
    <row r="38" spans="1:6" x14ac:dyDescent="0.3">
      <c r="A38" s="6" t="s">
        <v>7</v>
      </c>
      <c r="B38" s="4" t="s">
        <v>173</v>
      </c>
      <c r="C38" s="5">
        <v>0.105</v>
      </c>
      <c r="D38" s="5" t="s">
        <v>196</v>
      </c>
      <c r="E38" s="5">
        <v>7.1999999999999995E-2</v>
      </c>
      <c r="F38" s="5">
        <v>0.24399999999999999</v>
      </c>
    </row>
    <row r="39" spans="1:6" x14ac:dyDescent="0.3">
      <c r="A39" s="6" t="s">
        <v>7</v>
      </c>
      <c r="B39" s="4" t="s">
        <v>174</v>
      </c>
      <c r="C39" s="5" t="s">
        <v>197</v>
      </c>
      <c r="D39" s="5" t="s">
        <v>198</v>
      </c>
      <c r="E39" s="5" t="s">
        <v>399</v>
      </c>
      <c r="F39" s="5" t="s">
        <v>199</v>
      </c>
    </row>
    <row r="40" spans="1:6" x14ac:dyDescent="0.3">
      <c r="A40" s="6" t="s">
        <v>7</v>
      </c>
      <c r="B40" s="4" t="s">
        <v>175</v>
      </c>
      <c r="C40" s="5" t="s">
        <v>200</v>
      </c>
      <c r="D40" s="5" t="s">
        <v>201</v>
      </c>
      <c r="E40" s="5">
        <v>3.2000000000000001E-2</v>
      </c>
      <c r="F40" s="5" t="s">
        <v>202</v>
      </c>
    </row>
    <row r="41" spans="1:6" x14ac:dyDescent="0.3">
      <c r="A41" s="6" t="s">
        <v>8</v>
      </c>
      <c r="B41" s="4" t="s">
        <v>171</v>
      </c>
      <c r="C41" s="5" t="s">
        <v>203</v>
      </c>
      <c r="D41" s="5" t="s">
        <v>204</v>
      </c>
      <c r="E41" s="5" t="s">
        <v>202</v>
      </c>
      <c r="F41" s="5" t="s">
        <v>205</v>
      </c>
    </row>
    <row r="42" spans="1:6" x14ac:dyDescent="0.3">
      <c r="A42" s="6" t="s">
        <v>8</v>
      </c>
      <c r="B42" s="4" t="s">
        <v>173</v>
      </c>
      <c r="C42" s="5" t="s">
        <v>206</v>
      </c>
      <c r="D42" s="5" t="s">
        <v>207</v>
      </c>
      <c r="E42" s="5" t="s">
        <v>400</v>
      </c>
      <c r="F42" s="5">
        <v>8.9999999999999993E-3</v>
      </c>
    </row>
    <row r="43" spans="1:6" x14ac:dyDescent="0.3">
      <c r="A43" s="6" t="s">
        <v>8</v>
      </c>
      <c r="B43" s="4" t="s">
        <v>174</v>
      </c>
      <c r="C43" s="5">
        <v>6.0000000000000001E-3</v>
      </c>
      <c r="D43" s="5" t="s">
        <v>208</v>
      </c>
      <c r="E43" s="5" t="s">
        <v>401</v>
      </c>
      <c r="F43" s="5" t="s">
        <v>209</v>
      </c>
    </row>
    <row r="44" spans="1:6" x14ac:dyDescent="0.3">
      <c r="A44" s="6" t="s">
        <v>8</v>
      </c>
      <c r="B44" s="4" t="s">
        <v>175</v>
      </c>
      <c r="C44" s="5" t="s">
        <v>210</v>
      </c>
      <c r="D44" s="5" t="s">
        <v>211</v>
      </c>
      <c r="E44" s="5" t="s">
        <v>402</v>
      </c>
      <c r="F44" s="5" t="s">
        <v>212</v>
      </c>
    </row>
    <row r="47" spans="1:6" x14ac:dyDescent="0.3">
      <c r="A47" t="s">
        <v>53</v>
      </c>
    </row>
    <row r="48" spans="1:6" x14ac:dyDescent="0.3">
      <c r="A48" t="s">
        <v>169</v>
      </c>
      <c r="B48" t="s">
        <v>1</v>
      </c>
      <c r="C48" t="s">
        <v>38</v>
      </c>
      <c r="D48" t="s">
        <v>39</v>
      </c>
      <c r="E48" t="s">
        <v>40</v>
      </c>
      <c r="F48" t="s">
        <v>41</v>
      </c>
    </row>
    <row r="49" spans="1:6" x14ac:dyDescent="0.3">
      <c r="A49" t="s">
        <v>6</v>
      </c>
      <c r="B49" s="1">
        <v>0.5</v>
      </c>
      <c r="C49">
        <v>0.76959586466165397</v>
      </c>
      <c r="D49" s="1">
        <v>0.82833599999999996</v>
      </c>
      <c r="E49" s="1">
        <v>0.92757500000000004</v>
      </c>
      <c r="F49">
        <v>0.92796992499999997</v>
      </c>
    </row>
    <row r="50" spans="1:6" x14ac:dyDescent="0.3">
      <c r="A50" t="s">
        <v>7</v>
      </c>
      <c r="B50" s="1">
        <v>0.60405699999999996</v>
      </c>
      <c r="C50" s="1">
        <v>0.77773499999999995</v>
      </c>
      <c r="D50" s="1">
        <v>0.85546100000000003</v>
      </c>
      <c r="E50" s="1">
        <v>0.93363700000000005</v>
      </c>
      <c r="F50" s="1">
        <v>0.93171999999999999</v>
      </c>
    </row>
    <row r="51" spans="1:6" x14ac:dyDescent="0.3">
      <c r="A51" t="s">
        <v>8</v>
      </c>
      <c r="B51" s="1">
        <v>0.89188599999999996</v>
      </c>
      <c r="C51">
        <v>0.74181390977443595</v>
      </c>
      <c r="D51" s="1">
        <v>0.81846799999999997</v>
      </c>
      <c r="E51" s="1">
        <v>0.89923900000000001</v>
      </c>
      <c r="F51" s="1">
        <v>0.91512199999999999</v>
      </c>
    </row>
    <row r="53" spans="1:6" x14ac:dyDescent="0.3">
      <c r="A53" s="4" t="s">
        <v>213</v>
      </c>
    </row>
    <row r="54" spans="1:6" x14ac:dyDescent="0.3">
      <c r="A54" s="3" t="s">
        <v>169</v>
      </c>
      <c r="B54" s="3" t="s">
        <v>170</v>
      </c>
      <c r="C54" s="3" t="s">
        <v>9</v>
      </c>
      <c r="D54" s="3" t="s">
        <v>34</v>
      </c>
      <c r="E54" s="3" t="s">
        <v>35</v>
      </c>
      <c r="F54" s="3" t="s">
        <v>36</v>
      </c>
    </row>
    <row r="55" spans="1:6" x14ac:dyDescent="0.3">
      <c r="A55" s="4" t="s">
        <v>6</v>
      </c>
      <c r="B55" s="4" t="s">
        <v>171</v>
      </c>
      <c r="C55" s="5" t="s">
        <v>181</v>
      </c>
      <c r="D55" s="5" t="s">
        <v>214</v>
      </c>
      <c r="E55" s="5" t="s">
        <v>215</v>
      </c>
      <c r="F55" s="5">
        <v>1.2999999999999999E-3</v>
      </c>
    </row>
    <row r="56" spans="1:6" x14ac:dyDescent="0.3">
      <c r="A56" s="4" t="s">
        <v>6</v>
      </c>
      <c r="B56" s="4" t="s">
        <v>173</v>
      </c>
      <c r="C56" s="5">
        <v>0.219</v>
      </c>
      <c r="D56" s="5">
        <v>0.19570000000000001</v>
      </c>
      <c r="E56" s="5">
        <v>0.1118</v>
      </c>
      <c r="F56" s="5">
        <v>0.4289</v>
      </c>
    </row>
    <row r="57" spans="1:6" x14ac:dyDescent="0.3">
      <c r="A57" s="4" t="s">
        <v>6</v>
      </c>
      <c r="B57" s="4" t="s">
        <v>174</v>
      </c>
      <c r="C57" s="5">
        <v>3.8899999999999997E-2</v>
      </c>
      <c r="D57" s="5" t="s">
        <v>216</v>
      </c>
      <c r="E57" s="5" t="s">
        <v>217</v>
      </c>
      <c r="F57" s="5" t="s">
        <v>218</v>
      </c>
    </row>
    <row r="58" spans="1:6" x14ac:dyDescent="0.3">
      <c r="A58" s="4" t="s">
        <v>6</v>
      </c>
      <c r="B58" s="4" t="s">
        <v>175</v>
      </c>
      <c r="C58" s="5">
        <v>0.3085</v>
      </c>
      <c r="D58" s="5">
        <v>0.30070000000000002</v>
      </c>
      <c r="E58" s="5">
        <v>0.32350000000000001</v>
      </c>
      <c r="F58" s="5">
        <v>0.26979999999999998</v>
      </c>
    </row>
    <row r="59" spans="1:6" x14ac:dyDescent="0.3">
      <c r="A59" s="4" t="s">
        <v>7</v>
      </c>
      <c r="B59" s="4" t="s">
        <v>171</v>
      </c>
      <c r="C59" s="5" t="s">
        <v>219</v>
      </c>
      <c r="D59" s="5" t="s">
        <v>220</v>
      </c>
      <c r="E59" s="5" t="s">
        <v>221</v>
      </c>
      <c r="F59" s="5" t="s">
        <v>222</v>
      </c>
    </row>
    <row r="60" spans="1:6" x14ac:dyDescent="0.3">
      <c r="A60" s="4" t="s">
        <v>7</v>
      </c>
      <c r="B60" s="4" t="s">
        <v>173</v>
      </c>
      <c r="C60" s="5">
        <v>0.15040000000000001</v>
      </c>
      <c r="D60" s="5">
        <v>8.14E-2</v>
      </c>
      <c r="E60" s="5">
        <v>0.1242</v>
      </c>
      <c r="F60" s="5">
        <v>0.32669999999999999</v>
      </c>
    </row>
    <row r="61" spans="1:6" x14ac:dyDescent="0.3">
      <c r="A61" s="4" t="s">
        <v>7</v>
      </c>
      <c r="B61" s="4" t="s">
        <v>174</v>
      </c>
      <c r="C61" s="5">
        <v>2.9499999999999998E-2</v>
      </c>
      <c r="D61" s="5" t="s">
        <v>223</v>
      </c>
      <c r="E61" s="5" t="s">
        <v>224</v>
      </c>
      <c r="F61" s="5" t="s">
        <v>225</v>
      </c>
    </row>
    <row r="62" spans="1:6" x14ac:dyDescent="0.3">
      <c r="A62" s="4" t="s">
        <v>7</v>
      </c>
      <c r="B62" s="4" t="s">
        <v>175</v>
      </c>
      <c r="C62" s="5">
        <v>0.20319999999999999</v>
      </c>
      <c r="D62" s="5">
        <v>2.6200000000000001E-2</v>
      </c>
      <c r="E62" s="5">
        <v>8.6599999999999996E-2</v>
      </c>
      <c r="F62" s="5" t="s">
        <v>226</v>
      </c>
    </row>
    <row r="63" spans="1:6" x14ac:dyDescent="0.3">
      <c r="A63" s="4" t="s">
        <v>8</v>
      </c>
      <c r="B63" s="4" t="s">
        <v>171</v>
      </c>
      <c r="C63" s="5" t="s">
        <v>227</v>
      </c>
      <c r="D63" s="5" t="s">
        <v>228</v>
      </c>
      <c r="E63" s="5" t="s">
        <v>229</v>
      </c>
      <c r="F63" s="5">
        <v>3.0999999999999999E-3</v>
      </c>
    </row>
    <row r="64" spans="1:6" x14ac:dyDescent="0.3">
      <c r="A64" s="4" t="s">
        <v>8</v>
      </c>
      <c r="B64" s="4" t="s">
        <v>173</v>
      </c>
      <c r="C64" s="5" t="s">
        <v>230</v>
      </c>
      <c r="D64" s="5" t="s">
        <v>231</v>
      </c>
      <c r="E64" s="5" t="s">
        <v>232</v>
      </c>
      <c r="F64" s="5">
        <v>2.64E-2</v>
      </c>
    </row>
    <row r="65" spans="1:6" x14ac:dyDescent="0.3">
      <c r="A65" s="4" t="s">
        <v>8</v>
      </c>
      <c r="B65" s="4" t="s">
        <v>174</v>
      </c>
      <c r="C65" s="5">
        <v>1.5800000000000002E-2</v>
      </c>
      <c r="D65" s="5" t="s">
        <v>233</v>
      </c>
      <c r="E65" s="5" t="s">
        <v>234</v>
      </c>
      <c r="F65" s="5" t="s">
        <v>235</v>
      </c>
    </row>
    <row r="66" spans="1:6" x14ac:dyDescent="0.3">
      <c r="A66" s="4" t="s">
        <v>8</v>
      </c>
      <c r="B66" s="4" t="s">
        <v>175</v>
      </c>
      <c r="C66" s="5" t="s">
        <v>236</v>
      </c>
      <c r="D66" s="5" t="s">
        <v>237</v>
      </c>
      <c r="E66" s="5" t="s">
        <v>238</v>
      </c>
      <c r="F66" s="5" t="s">
        <v>239</v>
      </c>
    </row>
    <row r="69" spans="1:6" x14ac:dyDescent="0.3">
      <c r="A69" t="s">
        <v>55</v>
      </c>
    </row>
    <row r="70" spans="1:6" x14ac:dyDescent="0.3">
      <c r="A70" t="s">
        <v>169</v>
      </c>
      <c r="B70" t="s">
        <v>1</v>
      </c>
      <c r="C70" t="s">
        <v>38</v>
      </c>
      <c r="D70" t="s">
        <v>39</v>
      </c>
      <c r="E70" t="s">
        <v>40</v>
      </c>
      <c r="F70" t="s">
        <v>41</v>
      </c>
    </row>
    <row r="71" spans="1:6" x14ac:dyDescent="0.3">
      <c r="A71" t="s">
        <v>6</v>
      </c>
      <c r="B71" s="1">
        <v>0.5</v>
      </c>
      <c r="C71" s="1">
        <v>0.57259199999999999</v>
      </c>
      <c r="D71" s="1">
        <v>0.54866400000000004</v>
      </c>
      <c r="E71" s="1">
        <v>0.475323</v>
      </c>
      <c r="F71" s="1">
        <v>0.491118</v>
      </c>
    </row>
    <row r="72" spans="1:6" x14ac:dyDescent="0.3">
      <c r="A72" t="s">
        <v>7</v>
      </c>
      <c r="B72" s="1">
        <v>0.433118</v>
      </c>
      <c r="C72" s="1">
        <v>0.61377899999999996</v>
      </c>
      <c r="D72" s="1">
        <v>0.53532299999999999</v>
      </c>
      <c r="E72" s="1">
        <v>0.54231600000000002</v>
      </c>
      <c r="F72" s="1">
        <v>0.55428599999999995</v>
      </c>
    </row>
    <row r="73" spans="1:6" x14ac:dyDescent="0.3">
      <c r="A73" t="s">
        <v>8</v>
      </c>
      <c r="B73" s="1">
        <v>0.49551099999999998</v>
      </c>
      <c r="C73" s="1">
        <v>0.631498</v>
      </c>
      <c r="D73" s="1">
        <v>0.53354800000000002</v>
      </c>
      <c r="E73" s="1">
        <v>0.51207400000000003</v>
      </c>
      <c r="F73" s="1">
        <v>0.50179700000000005</v>
      </c>
    </row>
    <row r="75" spans="1:6" x14ac:dyDescent="0.3">
      <c r="A75" s="4" t="s">
        <v>54</v>
      </c>
    </row>
    <row r="76" spans="1:6" x14ac:dyDescent="0.3">
      <c r="A76" s="3" t="s">
        <v>169</v>
      </c>
      <c r="B76" s="3" t="s">
        <v>170</v>
      </c>
      <c r="C76" s="3" t="s">
        <v>9</v>
      </c>
      <c r="D76" s="3" t="s">
        <v>34</v>
      </c>
      <c r="E76" s="3" t="s">
        <v>35</v>
      </c>
      <c r="F76" s="3" t="s">
        <v>36</v>
      </c>
    </row>
    <row r="77" spans="1:6" x14ac:dyDescent="0.3">
      <c r="A77" s="4" t="s">
        <v>6</v>
      </c>
      <c r="B77" s="4" t="s">
        <v>171</v>
      </c>
      <c r="C77" s="5">
        <v>0.13871</v>
      </c>
      <c r="D77" s="5">
        <v>0.11257</v>
      </c>
      <c r="E77" s="5">
        <v>0.25530999999999998</v>
      </c>
      <c r="F77" s="5" t="s">
        <v>240</v>
      </c>
    </row>
    <row r="78" spans="1:6" x14ac:dyDescent="0.3">
      <c r="A78" s="4" t="s">
        <v>6</v>
      </c>
      <c r="B78" s="4" t="s">
        <v>173</v>
      </c>
      <c r="C78" s="5">
        <v>0.21129999999999999</v>
      </c>
      <c r="D78" s="5">
        <v>0.16123000000000001</v>
      </c>
      <c r="E78" s="5">
        <v>0.23063</v>
      </c>
      <c r="F78" s="5" t="s">
        <v>241</v>
      </c>
    </row>
    <row r="79" spans="1:6" x14ac:dyDescent="0.3">
      <c r="A79" s="4" t="s">
        <v>6</v>
      </c>
      <c r="B79" s="4" t="s">
        <v>174</v>
      </c>
      <c r="C79" s="5">
        <v>0.22416</v>
      </c>
      <c r="D79" s="5">
        <v>0.26689000000000002</v>
      </c>
      <c r="E79" s="5">
        <v>0.29968</v>
      </c>
      <c r="F79" s="5">
        <v>2.001E-2</v>
      </c>
    </row>
    <row r="80" spans="1:6" x14ac:dyDescent="0.3">
      <c r="A80" s="4" t="s">
        <v>6</v>
      </c>
      <c r="B80" s="4" t="s">
        <v>175</v>
      </c>
      <c r="C80" s="5">
        <v>0.29675000000000001</v>
      </c>
      <c r="D80" s="5">
        <v>0.31555</v>
      </c>
      <c r="E80" s="5">
        <v>0.27500000000000002</v>
      </c>
      <c r="F80" s="5">
        <v>1.1129999999999999E-2</v>
      </c>
    </row>
    <row r="81" spans="1:6" x14ac:dyDescent="0.3">
      <c r="A81" s="4" t="s">
        <v>7</v>
      </c>
      <c r="B81" s="4" t="s">
        <v>171</v>
      </c>
      <c r="C81" s="5">
        <v>2.7359999999999999E-2</v>
      </c>
      <c r="D81" s="5">
        <v>0.15128</v>
      </c>
      <c r="E81" s="5">
        <v>0.17748</v>
      </c>
      <c r="F81" s="5" t="s">
        <v>242</v>
      </c>
    </row>
    <row r="82" spans="1:6" x14ac:dyDescent="0.3">
      <c r="A82" s="4" t="s">
        <v>7</v>
      </c>
      <c r="B82" s="4" t="s">
        <v>173</v>
      </c>
      <c r="C82" s="5">
        <v>0.20802000000000001</v>
      </c>
      <c r="D82" s="5">
        <v>0.25347999999999998</v>
      </c>
      <c r="E82" s="5">
        <v>0.28667999999999999</v>
      </c>
      <c r="F82" s="5">
        <v>6.8519999999999998E-2</v>
      </c>
    </row>
    <row r="83" spans="1:6" x14ac:dyDescent="0.3">
      <c r="A83" s="4" t="s">
        <v>7</v>
      </c>
      <c r="B83" s="4" t="s">
        <v>174</v>
      </c>
      <c r="C83" s="5">
        <v>0.18012</v>
      </c>
      <c r="D83" s="5">
        <v>0.27826000000000001</v>
      </c>
      <c r="E83" s="5">
        <v>0.23202</v>
      </c>
      <c r="F83" s="5" t="s">
        <v>243</v>
      </c>
    </row>
    <row r="84" spans="1:6" x14ac:dyDescent="0.3">
      <c r="A84" s="4" t="s">
        <v>7</v>
      </c>
      <c r="B84" s="4" t="s">
        <v>175</v>
      </c>
      <c r="C84" s="5">
        <v>0.36077999999999999</v>
      </c>
      <c r="D84" s="5">
        <v>0.38046999999999997</v>
      </c>
      <c r="E84" s="5">
        <v>0.34121000000000001</v>
      </c>
      <c r="F84" s="5">
        <v>7.936E-2</v>
      </c>
    </row>
    <row r="85" spans="1:6" x14ac:dyDescent="0.3">
      <c r="A85" s="4" t="s">
        <v>8</v>
      </c>
      <c r="B85" s="4" t="s">
        <v>171</v>
      </c>
      <c r="C85" s="5">
        <v>6.0499999999999998E-3</v>
      </c>
      <c r="D85" s="5">
        <v>0.11008</v>
      </c>
      <c r="E85" s="5">
        <v>0.10899</v>
      </c>
      <c r="F85" s="5" t="s">
        <v>244</v>
      </c>
    </row>
    <row r="86" spans="1:6" x14ac:dyDescent="0.3">
      <c r="A86" s="4" t="s">
        <v>8</v>
      </c>
      <c r="B86" s="4" t="s">
        <v>173</v>
      </c>
      <c r="C86" s="5">
        <v>0.14204</v>
      </c>
      <c r="D86" s="5">
        <v>0.14812</v>
      </c>
      <c r="E86" s="5">
        <v>0.12556</v>
      </c>
      <c r="F86" s="5" t="s">
        <v>245</v>
      </c>
    </row>
    <row r="87" spans="1:6" x14ac:dyDescent="0.3">
      <c r="A87" s="4" t="s">
        <v>8</v>
      </c>
      <c r="B87" s="4" t="s">
        <v>174</v>
      </c>
      <c r="C87" s="5" t="s">
        <v>246</v>
      </c>
      <c r="D87" s="5" t="s">
        <v>247</v>
      </c>
      <c r="E87" s="5" t="s">
        <v>248</v>
      </c>
      <c r="F87" s="5" t="s">
        <v>249</v>
      </c>
    </row>
    <row r="88" spans="1:6" x14ac:dyDescent="0.3">
      <c r="A88" s="4" t="s">
        <v>8</v>
      </c>
      <c r="B88" s="4" t="s">
        <v>175</v>
      </c>
      <c r="C88" s="5" t="s">
        <v>250</v>
      </c>
      <c r="D88" s="5">
        <v>3.6040000000000003E-2</v>
      </c>
      <c r="E88" s="5" t="s">
        <v>251</v>
      </c>
      <c r="F88" s="5" t="s">
        <v>252</v>
      </c>
    </row>
    <row r="91" spans="1:6" x14ac:dyDescent="0.3">
      <c r="A91" t="s">
        <v>57</v>
      </c>
    </row>
    <row r="92" spans="1:6" x14ac:dyDescent="0.3">
      <c r="A92" t="s">
        <v>169</v>
      </c>
      <c r="B92" t="s">
        <v>1</v>
      </c>
      <c r="C92" t="s">
        <v>38</v>
      </c>
      <c r="D92" t="s">
        <v>39</v>
      </c>
      <c r="E92" t="s">
        <v>40</v>
      </c>
      <c r="F92" t="s">
        <v>41</v>
      </c>
    </row>
    <row r="93" spans="1:6" x14ac:dyDescent="0.3">
      <c r="A93" t="s">
        <v>6</v>
      </c>
      <c r="B93" s="1">
        <v>0.5</v>
      </c>
      <c r="C93" s="1">
        <v>0.33353899999999997</v>
      </c>
      <c r="D93" s="1">
        <v>0.29696299999999998</v>
      </c>
      <c r="E93" s="1">
        <v>0.240676</v>
      </c>
      <c r="F93" s="1">
        <v>0.25653199999999998</v>
      </c>
    </row>
    <row r="94" spans="1:6" x14ac:dyDescent="0.3">
      <c r="A94" t="s">
        <v>7</v>
      </c>
      <c r="B94" s="1">
        <v>0.38411400000000001</v>
      </c>
      <c r="C94" s="1">
        <v>0.41570800000000002</v>
      </c>
      <c r="D94" s="1">
        <v>0.29480699999999999</v>
      </c>
      <c r="E94" s="1">
        <v>0.29181499999999999</v>
      </c>
      <c r="F94" s="1">
        <v>0.34325</v>
      </c>
    </row>
    <row r="95" spans="1:6" x14ac:dyDescent="0.3">
      <c r="A95" t="s">
        <v>8</v>
      </c>
      <c r="B95" s="1">
        <v>0.27168199999999998</v>
      </c>
      <c r="C95" s="1">
        <v>0.426757</v>
      </c>
      <c r="D95" s="1">
        <v>0.29856500000000002</v>
      </c>
      <c r="E95" s="1">
        <v>0.27632600000000002</v>
      </c>
      <c r="F95" s="1">
        <v>0.28440799999999999</v>
      </c>
    </row>
    <row r="97" spans="1:6" x14ac:dyDescent="0.3">
      <c r="A97" s="4" t="s">
        <v>56</v>
      </c>
    </row>
    <row r="98" spans="1:6" x14ac:dyDescent="0.3">
      <c r="A98" s="3" t="s">
        <v>169</v>
      </c>
      <c r="B98" s="3" t="s">
        <v>170</v>
      </c>
      <c r="C98" s="3" t="s">
        <v>9</v>
      </c>
      <c r="D98" s="3" t="s">
        <v>34</v>
      </c>
      <c r="E98" s="3" t="s">
        <v>35</v>
      </c>
      <c r="F98" s="3" t="s">
        <v>36</v>
      </c>
    </row>
    <row r="99" spans="1:6" x14ac:dyDescent="0.3">
      <c r="A99" s="4" t="s">
        <v>6</v>
      </c>
      <c r="B99" s="4" t="s">
        <v>171</v>
      </c>
      <c r="C99" s="5">
        <v>0.34601999999999999</v>
      </c>
      <c r="D99" s="5">
        <v>0.40445999999999999</v>
      </c>
      <c r="E99" s="5">
        <v>0.55528999999999995</v>
      </c>
      <c r="F99" s="5" t="s">
        <v>253</v>
      </c>
    </row>
    <row r="100" spans="1:6" x14ac:dyDescent="0.3">
      <c r="A100" s="4" t="s">
        <v>6</v>
      </c>
      <c r="B100" s="4" t="s">
        <v>173</v>
      </c>
      <c r="C100" s="5">
        <v>0.17956</v>
      </c>
      <c r="D100" s="5">
        <v>0.20141999999999999</v>
      </c>
      <c r="E100" s="5">
        <v>0.29597000000000001</v>
      </c>
      <c r="F100" s="5" t="s">
        <v>254</v>
      </c>
    </row>
    <row r="101" spans="1:6" x14ac:dyDescent="0.3">
      <c r="A101" s="4" t="s">
        <v>6</v>
      </c>
      <c r="B101" s="4" t="s">
        <v>174</v>
      </c>
      <c r="C101" s="5">
        <v>0.14734</v>
      </c>
      <c r="D101" s="5">
        <v>0.20646999999999999</v>
      </c>
      <c r="E101" s="5">
        <v>0.23981</v>
      </c>
      <c r="F101" s="5">
        <v>7.4499999999999997E-2</v>
      </c>
    </row>
    <row r="102" spans="1:6" x14ac:dyDescent="0.3">
      <c r="A102" s="4" t="s">
        <v>6</v>
      </c>
      <c r="B102" s="4" t="s">
        <v>175</v>
      </c>
      <c r="C102" s="5" t="s">
        <v>255</v>
      </c>
      <c r="D102" s="5">
        <v>3.4399999999999999E-3</v>
      </c>
      <c r="E102" s="5" t="s">
        <v>256</v>
      </c>
      <c r="F102" s="5" t="s">
        <v>257</v>
      </c>
    </row>
    <row r="103" spans="1:6" x14ac:dyDescent="0.3">
      <c r="A103" s="4" t="s">
        <v>7</v>
      </c>
      <c r="B103" s="4" t="s">
        <v>171</v>
      </c>
      <c r="C103" s="5">
        <v>4.7489999999999997E-2</v>
      </c>
      <c r="D103" s="5">
        <v>0.37148999999999999</v>
      </c>
      <c r="E103" s="5">
        <v>0.4501</v>
      </c>
      <c r="F103" s="5" t="s">
        <v>258</v>
      </c>
    </row>
    <row r="104" spans="1:6" x14ac:dyDescent="0.3">
      <c r="A104" s="4" t="s">
        <v>7</v>
      </c>
      <c r="B104" s="4" t="s">
        <v>173</v>
      </c>
      <c r="C104" s="5">
        <v>7.9079999999999998E-2</v>
      </c>
      <c r="D104" s="5">
        <v>0.28217999999999999</v>
      </c>
      <c r="E104" s="5">
        <v>0.35780000000000001</v>
      </c>
      <c r="F104" s="5" t="s">
        <v>259</v>
      </c>
    </row>
    <row r="105" spans="1:6" x14ac:dyDescent="0.3">
      <c r="A105" s="4" t="s">
        <v>7</v>
      </c>
      <c r="B105" s="4" t="s">
        <v>174</v>
      </c>
      <c r="C105" s="5">
        <v>6.6360000000000002E-2</v>
      </c>
      <c r="D105" s="5">
        <v>0.20677000000000001</v>
      </c>
      <c r="E105" s="5">
        <v>0.18312</v>
      </c>
      <c r="F105" s="5">
        <v>3.9019999999999999E-2</v>
      </c>
    </row>
    <row r="106" spans="1:6" x14ac:dyDescent="0.3">
      <c r="A106" s="4" t="s">
        <v>7</v>
      </c>
      <c r="B106" s="4" t="s">
        <v>175</v>
      </c>
      <c r="C106" s="5">
        <v>9.7960000000000005E-2</v>
      </c>
      <c r="D106" s="5">
        <v>0.11745999999999999</v>
      </c>
      <c r="E106" s="5">
        <v>9.0819999999999998E-2</v>
      </c>
      <c r="F106" s="5" t="s">
        <v>260</v>
      </c>
    </row>
    <row r="107" spans="1:6" x14ac:dyDescent="0.3">
      <c r="A107" s="4" t="s">
        <v>8</v>
      </c>
      <c r="B107" s="4" t="s">
        <v>171</v>
      </c>
      <c r="C107" s="5">
        <v>0.17510000000000001</v>
      </c>
      <c r="D107" s="5">
        <v>0.33772000000000002</v>
      </c>
      <c r="E107" s="5">
        <v>0.10609</v>
      </c>
      <c r="F107" s="5" t="s">
        <v>261</v>
      </c>
    </row>
    <row r="108" spans="1:6" x14ac:dyDescent="0.3">
      <c r="A108" s="4" t="s">
        <v>8</v>
      </c>
      <c r="B108" s="4" t="s">
        <v>173</v>
      </c>
      <c r="C108" s="5">
        <v>0.33017999999999997</v>
      </c>
      <c r="D108" s="5">
        <v>0.36459999999999998</v>
      </c>
      <c r="E108" s="5">
        <v>0.10573</v>
      </c>
      <c r="F108" s="5" t="s">
        <v>262</v>
      </c>
    </row>
    <row r="109" spans="1:6" x14ac:dyDescent="0.3">
      <c r="A109" s="4" t="s">
        <v>8</v>
      </c>
      <c r="B109" s="4" t="s">
        <v>174</v>
      </c>
      <c r="C109" s="5" t="s">
        <v>263</v>
      </c>
      <c r="D109" s="5">
        <v>0.24962999999999999</v>
      </c>
      <c r="E109" s="5" t="s">
        <v>264</v>
      </c>
      <c r="F109" s="5">
        <v>2.8729999999999999E-2</v>
      </c>
    </row>
    <row r="110" spans="1:6" x14ac:dyDescent="0.3">
      <c r="A110" s="4" t="s">
        <v>8</v>
      </c>
      <c r="B110" s="4" t="s">
        <v>175</v>
      </c>
      <c r="C110" s="5">
        <v>8.2970000000000002E-2</v>
      </c>
      <c r="D110" s="5">
        <v>0.27651999999999999</v>
      </c>
      <c r="E110" s="5" t="s">
        <v>265</v>
      </c>
      <c r="F110" s="5">
        <v>4.1410000000000002E-2</v>
      </c>
    </row>
    <row r="113" spans="1:6" x14ac:dyDescent="0.3">
      <c r="A113" t="s">
        <v>59</v>
      </c>
    </row>
    <row r="114" spans="1:6" x14ac:dyDescent="0.3">
      <c r="A114" t="s">
        <v>169</v>
      </c>
      <c r="B114" t="s">
        <v>1</v>
      </c>
      <c r="C114" t="s">
        <v>38</v>
      </c>
      <c r="D114" t="s">
        <v>39</v>
      </c>
      <c r="E114" t="s">
        <v>40</v>
      </c>
      <c r="F114" t="s">
        <v>41</v>
      </c>
    </row>
    <row r="115" spans="1:6" x14ac:dyDescent="0.3">
      <c r="A115" t="s">
        <v>6</v>
      </c>
      <c r="B115" s="1">
        <v>0.5</v>
      </c>
      <c r="C115" s="1">
        <v>0.46044499999999999</v>
      </c>
      <c r="D115" s="1">
        <v>0.39708100000000002</v>
      </c>
      <c r="E115" s="1">
        <v>0.30397800000000003</v>
      </c>
      <c r="F115" s="1">
        <v>0.32237300000000002</v>
      </c>
    </row>
    <row r="116" spans="1:6" x14ac:dyDescent="0.3">
      <c r="A116" t="s">
        <v>7</v>
      </c>
      <c r="B116" s="1">
        <v>0.45130799999999999</v>
      </c>
      <c r="C116" s="1">
        <v>0.51063000000000003</v>
      </c>
      <c r="D116" s="1">
        <v>0.389094</v>
      </c>
      <c r="E116" s="1">
        <v>0.37240400000000001</v>
      </c>
      <c r="F116" s="1">
        <v>0.40937800000000002</v>
      </c>
    </row>
    <row r="117" spans="1:6" x14ac:dyDescent="0.3">
      <c r="A117" t="s">
        <v>8</v>
      </c>
      <c r="B117" s="1">
        <v>0.40094999999999997</v>
      </c>
      <c r="C117" s="1">
        <v>0.52089099999999999</v>
      </c>
      <c r="D117" s="1">
        <v>0.39083699999999999</v>
      </c>
      <c r="E117" s="1">
        <v>0.337204</v>
      </c>
      <c r="F117" s="1">
        <v>0.35162100000000002</v>
      </c>
    </row>
    <row r="119" spans="1:6" x14ac:dyDescent="0.3">
      <c r="A119" s="4" t="s">
        <v>266</v>
      </c>
    </row>
    <row r="120" spans="1:6" x14ac:dyDescent="0.3">
      <c r="A120" s="3" t="s">
        <v>169</v>
      </c>
      <c r="B120" s="3" t="s">
        <v>170</v>
      </c>
      <c r="C120" s="3" t="s">
        <v>9</v>
      </c>
      <c r="D120" s="3" t="s">
        <v>34</v>
      </c>
      <c r="E120" s="3" t="s">
        <v>35</v>
      </c>
      <c r="F120" s="3" t="s">
        <v>36</v>
      </c>
    </row>
    <row r="121" spans="1:6" x14ac:dyDescent="0.3">
      <c r="A121" s="4" t="s">
        <v>6</v>
      </c>
      <c r="B121" s="4" t="s">
        <v>171</v>
      </c>
      <c r="C121" s="5">
        <v>0.19220000000000001</v>
      </c>
      <c r="D121" s="5">
        <v>0.23671</v>
      </c>
      <c r="E121" s="5">
        <v>0.39677000000000001</v>
      </c>
      <c r="F121" s="5" t="s">
        <v>267</v>
      </c>
    </row>
    <row r="122" spans="1:6" x14ac:dyDescent="0.3">
      <c r="A122" s="4" t="s">
        <v>6</v>
      </c>
      <c r="B122" s="4" t="s">
        <v>173</v>
      </c>
      <c r="C122" s="5">
        <v>0.15264</v>
      </c>
      <c r="D122" s="5">
        <v>0.13378999999999999</v>
      </c>
      <c r="E122" s="5">
        <v>0.20075000000000001</v>
      </c>
      <c r="F122" s="5" t="s">
        <v>268</v>
      </c>
    </row>
    <row r="123" spans="1:6" x14ac:dyDescent="0.3">
      <c r="A123" s="4" t="s">
        <v>6</v>
      </c>
      <c r="B123" s="4" t="s">
        <v>174</v>
      </c>
      <c r="C123" s="5">
        <v>0.17629</v>
      </c>
      <c r="D123" s="5">
        <v>0.22453999999999999</v>
      </c>
      <c r="E123" s="5">
        <v>0.29742000000000002</v>
      </c>
      <c r="F123" s="5">
        <v>0.19843</v>
      </c>
    </row>
    <row r="124" spans="1:6" x14ac:dyDescent="0.3">
      <c r="A124" s="4" t="s">
        <v>6</v>
      </c>
      <c r="B124" s="4" t="s">
        <v>175</v>
      </c>
      <c r="C124" s="5">
        <v>0.13674</v>
      </c>
      <c r="D124" s="5">
        <v>0.12162000000000001</v>
      </c>
      <c r="E124" s="5">
        <v>9.7420000000000007E-2</v>
      </c>
      <c r="F124" s="5">
        <v>2.0799999999999999E-2</v>
      </c>
    </row>
    <row r="125" spans="1:6" x14ac:dyDescent="0.3">
      <c r="A125" s="4" t="s">
        <v>7</v>
      </c>
      <c r="B125" s="4" t="s">
        <v>171</v>
      </c>
      <c r="C125" s="5">
        <v>6.1379999999999997E-2</v>
      </c>
      <c r="D125" s="5">
        <v>0.26998</v>
      </c>
      <c r="E125" s="5">
        <v>0.29873</v>
      </c>
      <c r="F125" s="5" t="s">
        <v>269</v>
      </c>
    </row>
    <row r="126" spans="1:6" x14ac:dyDescent="0.3">
      <c r="A126" s="4" t="s">
        <v>7</v>
      </c>
      <c r="B126" s="4" t="s">
        <v>173</v>
      </c>
      <c r="C126" s="5">
        <v>0.1207</v>
      </c>
      <c r="D126" s="5">
        <v>0.20777000000000001</v>
      </c>
      <c r="E126" s="5">
        <v>0.21873000000000001</v>
      </c>
      <c r="F126" s="5" t="s">
        <v>270</v>
      </c>
    </row>
    <row r="127" spans="1:6" x14ac:dyDescent="0.3">
      <c r="A127" s="4" t="s">
        <v>7</v>
      </c>
      <c r="B127" s="4" t="s">
        <v>174</v>
      </c>
      <c r="C127" s="5">
        <v>0.12714</v>
      </c>
      <c r="D127" s="5">
        <v>0.23402000000000001</v>
      </c>
      <c r="E127" s="5">
        <v>0.23133999999999999</v>
      </c>
      <c r="F127" s="5">
        <v>0.11342000000000001</v>
      </c>
    </row>
    <row r="128" spans="1:6" x14ac:dyDescent="0.3">
      <c r="A128" s="4" t="s">
        <v>7</v>
      </c>
      <c r="B128" s="4" t="s">
        <v>175</v>
      </c>
      <c r="C128" s="5">
        <v>0.18647</v>
      </c>
      <c r="D128" s="5">
        <v>0.17180999999999999</v>
      </c>
      <c r="E128" s="5">
        <v>0.14033999999999999</v>
      </c>
      <c r="F128" s="5">
        <v>7.1489999999999998E-2</v>
      </c>
    </row>
    <row r="129" spans="1:6" x14ac:dyDescent="0.3">
      <c r="A129" s="4" t="s">
        <v>8</v>
      </c>
      <c r="B129" s="4" t="s">
        <v>171</v>
      </c>
      <c r="C129" s="5">
        <v>6.5040000000000001E-2</v>
      </c>
      <c r="D129" s="5">
        <v>0.20624000000000001</v>
      </c>
      <c r="E129" s="5">
        <v>0.14527000000000001</v>
      </c>
      <c r="F129" s="5" t="s">
        <v>271</v>
      </c>
    </row>
    <row r="130" spans="1:6" x14ac:dyDescent="0.3">
      <c r="A130" s="4" t="s">
        <v>8</v>
      </c>
      <c r="B130" s="4" t="s">
        <v>173</v>
      </c>
      <c r="C130" s="5">
        <v>0.18498000000000001</v>
      </c>
      <c r="D130" s="5">
        <v>0.19613</v>
      </c>
      <c r="E130" s="5">
        <v>8.1519999999999995E-2</v>
      </c>
      <c r="F130" s="5" t="s">
        <v>272</v>
      </c>
    </row>
    <row r="131" spans="1:6" x14ac:dyDescent="0.3">
      <c r="A131" s="4" t="s">
        <v>8</v>
      </c>
      <c r="B131" s="4" t="s">
        <v>174</v>
      </c>
      <c r="C131" s="5" t="s">
        <v>273</v>
      </c>
      <c r="D131" s="5">
        <v>0.17695</v>
      </c>
      <c r="E131" s="5" t="s">
        <v>274</v>
      </c>
      <c r="F131" s="5">
        <v>9.7059999999999994E-2</v>
      </c>
    </row>
    <row r="132" spans="1:6" x14ac:dyDescent="0.3">
      <c r="A132" s="4" t="s">
        <v>8</v>
      </c>
      <c r="B132" s="4" t="s">
        <v>175</v>
      </c>
      <c r="C132" s="5">
        <v>6.5379999999999994E-2</v>
      </c>
      <c r="D132" s="5">
        <v>0.16683000000000001</v>
      </c>
      <c r="E132" s="5">
        <v>1.864E-2</v>
      </c>
      <c r="F132" s="5">
        <v>4.8329999999999998E-2</v>
      </c>
    </row>
    <row r="135" spans="1:6" x14ac:dyDescent="0.3">
      <c r="A135" t="s">
        <v>61</v>
      </c>
    </row>
    <row r="136" spans="1:6" x14ac:dyDescent="0.3">
      <c r="A136" t="s">
        <v>169</v>
      </c>
      <c r="B136" t="s">
        <v>1</v>
      </c>
      <c r="C136" t="s">
        <v>38</v>
      </c>
      <c r="D136" t="s">
        <v>39</v>
      </c>
      <c r="E136" t="s">
        <v>40</v>
      </c>
      <c r="F136" t="s">
        <v>41</v>
      </c>
    </row>
    <row r="137" spans="1:6" x14ac:dyDescent="0.3">
      <c r="A137" t="s">
        <v>6</v>
      </c>
      <c r="B137" s="1">
        <v>0.5</v>
      </c>
      <c r="C137" s="1">
        <v>0.71208099999999996</v>
      </c>
      <c r="D137" s="1">
        <v>0.74294499999999997</v>
      </c>
      <c r="E137" s="1">
        <v>0.88458999999999999</v>
      </c>
      <c r="F137" s="1">
        <v>0.88315699999999997</v>
      </c>
    </row>
    <row r="138" spans="1:6" x14ac:dyDescent="0.3">
      <c r="A138" t="s">
        <v>7</v>
      </c>
      <c r="B138" s="1">
        <v>0.55555600000000005</v>
      </c>
      <c r="C138" s="1">
        <v>0.70480600000000004</v>
      </c>
      <c r="D138" s="1">
        <v>0.762015</v>
      </c>
      <c r="E138" s="1">
        <v>0.89175499999999996</v>
      </c>
      <c r="F138" s="1">
        <v>0.88414899999999996</v>
      </c>
    </row>
    <row r="139" spans="1:6" x14ac:dyDescent="0.3">
      <c r="A139" t="s">
        <v>8</v>
      </c>
      <c r="B139" s="1">
        <v>0.76929000000000003</v>
      </c>
      <c r="C139" s="1">
        <v>0.68110700000000002</v>
      </c>
      <c r="D139" s="1">
        <v>0.723325</v>
      </c>
      <c r="E139" s="1">
        <v>0.83278200000000002</v>
      </c>
      <c r="F139" s="1">
        <v>0.84512799999999999</v>
      </c>
    </row>
    <row r="141" spans="1:6" x14ac:dyDescent="0.3">
      <c r="A141" s="4" t="s">
        <v>275</v>
      </c>
    </row>
    <row r="142" spans="1:6" x14ac:dyDescent="0.3">
      <c r="A142" s="3" t="s">
        <v>169</v>
      </c>
      <c r="B142" s="3" t="s">
        <v>170</v>
      </c>
      <c r="C142" s="3" t="s">
        <v>9</v>
      </c>
      <c r="D142" s="3" t="s">
        <v>34</v>
      </c>
      <c r="E142" s="3" t="s">
        <v>35</v>
      </c>
      <c r="F142" s="3" t="s">
        <v>36</v>
      </c>
    </row>
    <row r="143" spans="1:6" x14ac:dyDescent="0.3">
      <c r="A143" s="4" t="s">
        <v>6</v>
      </c>
      <c r="B143" s="4" t="s">
        <v>171</v>
      </c>
      <c r="C143" s="5" t="s">
        <v>276</v>
      </c>
      <c r="D143" s="5" t="s">
        <v>277</v>
      </c>
      <c r="E143" s="5" t="s">
        <v>278</v>
      </c>
      <c r="F143" s="5">
        <v>1.158E-2</v>
      </c>
    </row>
    <row r="144" spans="1:6" x14ac:dyDescent="0.3">
      <c r="A144" s="4" t="s">
        <v>6</v>
      </c>
      <c r="B144" s="4" t="s">
        <v>173</v>
      </c>
      <c r="C144" s="5">
        <v>0.12092</v>
      </c>
      <c r="D144" s="5">
        <v>3.9350000000000003E-2</v>
      </c>
      <c r="E144" s="5">
        <v>1.3559999999999999E-2</v>
      </c>
      <c r="F144" s="5">
        <v>0.39517000000000002</v>
      </c>
    </row>
    <row r="145" spans="1:6" x14ac:dyDescent="0.3">
      <c r="A145" s="4" t="s">
        <v>6</v>
      </c>
      <c r="B145" s="4" t="s">
        <v>174</v>
      </c>
      <c r="C145" s="5" t="s">
        <v>279</v>
      </c>
      <c r="D145" s="5" t="s">
        <v>280</v>
      </c>
      <c r="E145" s="5" t="s">
        <v>281</v>
      </c>
      <c r="F145" s="5" t="s">
        <v>282</v>
      </c>
    </row>
    <row r="146" spans="1:6" x14ac:dyDescent="0.3">
      <c r="A146" s="4" t="s">
        <v>6</v>
      </c>
      <c r="B146" s="4" t="s">
        <v>175</v>
      </c>
      <c r="C146" s="5">
        <v>0.19742000000000001</v>
      </c>
      <c r="D146" s="5">
        <v>0.22145000000000001</v>
      </c>
      <c r="E146" s="5">
        <v>0.20668</v>
      </c>
      <c r="F146" s="5">
        <v>0.18804999999999999</v>
      </c>
    </row>
    <row r="147" spans="1:6" x14ac:dyDescent="0.3">
      <c r="A147" s="4" t="s">
        <v>7</v>
      </c>
      <c r="B147" s="4" t="s">
        <v>171</v>
      </c>
      <c r="C147" s="5" t="s">
        <v>283</v>
      </c>
      <c r="D147" s="5" t="s">
        <v>284</v>
      </c>
      <c r="E147" s="5" t="s">
        <v>285</v>
      </c>
      <c r="F147" s="5">
        <v>1.9730000000000001E-2</v>
      </c>
    </row>
    <row r="148" spans="1:6" x14ac:dyDescent="0.3">
      <c r="A148" s="4" t="s">
        <v>7</v>
      </c>
      <c r="B148" s="4" t="s">
        <v>173</v>
      </c>
      <c r="C148" s="5">
        <v>0.11552</v>
      </c>
      <c r="D148" s="5">
        <v>0.14252999999999999</v>
      </c>
      <c r="E148" s="5">
        <v>0.12324</v>
      </c>
      <c r="F148" s="5">
        <v>0.34832000000000002</v>
      </c>
    </row>
    <row r="149" spans="1:6" x14ac:dyDescent="0.3">
      <c r="A149" s="4" t="s">
        <v>7</v>
      </c>
      <c r="B149" s="4" t="s">
        <v>174</v>
      </c>
      <c r="C149" s="5" t="s">
        <v>286</v>
      </c>
      <c r="D149" s="5" t="s">
        <v>287</v>
      </c>
      <c r="E149" s="5" t="s">
        <v>288</v>
      </c>
      <c r="F149" s="5" t="s">
        <v>289</v>
      </c>
    </row>
    <row r="150" spans="1:6" x14ac:dyDescent="0.3">
      <c r="A150" s="4" t="s">
        <v>7</v>
      </c>
      <c r="B150" s="4" t="s">
        <v>175</v>
      </c>
      <c r="C150" s="5">
        <v>0.14163999999999999</v>
      </c>
      <c r="D150" s="5">
        <v>0.15828999999999999</v>
      </c>
      <c r="E150" s="5">
        <v>0.13256999999999999</v>
      </c>
      <c r="F150" s="5">
        <v>0.13469999999999999</v>
      </c>
    </row>
    <row r="151" spans="1:6" x14ac:dyDescent="0.3">
      <c r="A151" s="4" t="s">
        <v>8</v>
      </c>
      <c r="B151" s="4" t="s">
        <v>171</v>
      </c>
      <c r="C151" s="5" t="s">
        <v>290</v>
      </c>
      <c r="D151" s="5" t="s">
        <v>291</v>
      </c>
      <c r="E151" s="5">
        <v>3.5740000000000001E-2</v>
      </c>
      <c r="F151" s="5">
        <v>4.6960000000000002E-2</v>
      </c>
    </row>
    <row r="152" spans="1:6" x14ac:dyDescent="0.3">
      <c r="A152" s="4" t="s">
        <v>8</v>
      </c>
      <c r="B152" s="4" t="s">
        <v>173</v>
      </c>
      <c r="C152" s="5" t="s">
        <v>292</v>
      </c>
      <c r="D152" s="5" t="s">
        <v>293</v>
      </c>
      <c r="E152" s="5" t="s">
        <v>294</v>
      </c>
      <c r="F152" s="5">
        <v>0.12280000000000001</v>
      </c>
    </row>
    <row r="153" spans="1:6" x14ac:dyDescent="0.3">
      <c r="A153" s="4" t="s">
        <v>8</v>
      </c>
      <c r="B153" s="4" t="s">
        <v>174</v>
      </c>
      <c r="C153" s="5" t="s">
        <v>295</v>
      </c>
      <c r="D153" s="5" t="s">
        <v>296</v>
      </c>
      <c r="E153" s="5" t="s">
        <v>297</v>
      </c>
      <c r="F153" s="5" t="s">
        <v>298</v>
      </c>
    </row>
    <row r="154" spans="1:6" x14ac:dyDescent="0.3">
      <c r="A154" s="4" t="s">
        <v>8</v>
      </c>
      <c r="B154" s="4" t="s">
        <v>175</v>
      </c>
      <c r="C154" s="5" t="s">
        <v>299</v>
      </c>
      <c r="D154" s="5" t="s">
        <v>300</v>
      </c>
      <c r="E154" s="5" t="s">
        <v>301</v>
      </c>
      <c r="F154" s="5" t="s">
        <v>302</v>
      </c>
    </row>
    <row r="157" spans="1:6" x14ac:dyDescent="0.3">
      <c r="A157" t="s">
        <v>63</v>
      </c>
    </row>
    <row r="158" spans="1:6" x14ac:dyDescent="0.3">
      <c r="A158" t="s">
        <v>169</v>
      </c>
      <c r="B158" t="s">
        <v>1</v>
      </c>
      <c r="C158" t="s">
        <v>38</v>
      </c>
      <c r="D158" t="s">
        <v>39</v>
      </c>
      <c r="E158" t="s">
        <v>40</v>
      </c>
      <c r="F158" t="s">
        <v>41</v>
      </c>
    </row>
    <row r="159" spans="1:6" x14ac:dyDescent="0.3">
      <c r="A159" t="s">
        <v>6</v>
      </c>
      <c r="B159" s="1">
        <v>0.5</v>
      </c>
      <c r="C159" s="1">
        <v>0.69831299999999996</v>
      </c>
      <c r="D159" s="1">
        <v>0.655254</v>
      </c>
      <c r="E159" s="1">
        <v>0.77354199999999995</v>
      </c>
      <c r="F159" s="1">
        <v>0.79739199999999999</v>
      </c>
    </row>
    <row r="160" spans="1:6" x14ac:dyDescent="0.3">
      <c r="A160" t="s">
        <v>7</v>
      </c>
      <c r="B160" s="1">
        <v>0.52775399999999995</v>
      </c>
      <c r="C160" s="1">
        <v>0.69673799999999997</v>
      </c>
      <c r="D160" s="1">
        <v>0.64876</v>
      </c>
      <c r="E160" s="1">
        <v>0.79164599999999996</v>
      </c>
      <c r="F160" s="1">
        <v>0.81111</v>
      </c>
    </row>
    <row r="161" spans="1:6" x14ac:dyDescent="0.3">
      <c r="A161" t="s">
        <v>8</v>
      </c>
      <c r="B161" s="1">
        <v>0.72758100000000003</v>
      </c>
      <c r="C161" s="1">
        <v>0.67986899999999995</v>
      </c>
      <c r="D161" s="1">
        <v>0.64817000000000002</v>
      </c>
      <c r="E161" s="1">
        <v>0.75855799999999995</v>
      </c>
      <c r="F161" s="1">
        <v>0.79300499999999996</v>
      </c>
    </row>
    <row r="163" spans="1:6" x14ac:dyDescent="0.3">
      <c r="A163" s="4" t="s">
        <v>303</v>
      </c>
    </row>
    <row r="164" spans="1:6" x14ac:dyDescent="0.3">
      <c r="A164" s="3" t="s">
        <v>169</v>
      </c>
      <c r="B164" s="3" t="s">
        <v>170</v>
      </c>
      <c r="C164" s="3" t="s">
        <v>9</v>
      </c>
      <c r="D164" s="3" t="s">
        <v>34</v>
      </c>
      <c r="E164" s="3" t="s">
        <v>35</v>
      </c>
      <c r="F164" s="3" t="s">
        <v>36</v>
      </c>
    </row>
    <row r="165" spans="1:6" x14ac:dyDescent="0.3">
      <c r="A165" s="4" t="s">
        <v>6</v>
      </c>
      <c r="B165" s="4" t="s">
        <v>171</v>
      </c>
      <c r="C165" s="5" t="s">
        <v>304</v>
      </c>
      <c r="D165" s="5" t="s">
        <v>305</v>
      </c>
      <c r="E165" s="5" t="s">
        <v>306</v>
      </c>
      <c r="F165" s="5" t="s">
        <v>307</v>
      </c>
    </row>
    <row r="166" spans="1:6" x14ac:dyDescent="0.3">
      <c r="A166" s="4" t="s">
        <v>6</v>
      </c>
      <c r="B166" s="4" t="s">
        <v>173</v>
      </c>
      <c r="C166" s="5">
        <v>0.18917</v>
      </c>
      <c r="D166" s="5">
        <v>2.597E-2</v>
      </c>
      <c r="E166" s="5">
        <v>0.11473999999999999</v>
      </c>
      <c r="F166" s="5">
        <v>0.28950999999999999</v>
      </c>
    </row>
    <row r="167" spans="1:6" x14ac:dyDescent="0.3">
      <c r="A167" s="4" t="s">
        <v>6</v>
      </c>
      <c r="B167" s="4" t="s">
        <v>174</v>
      </c>
      <c r="C167" s="5">
        <v>0.15645000000000001</v>
      </c>
      <c r="D167" s="5">
        <v>0.22609000000000001</v>
      </c>
      <c r="E167" s="5">
        <v>6.4659999999999995E-2</v>
      </c>
      <c r="F167" s="5" t="s">
        <v>308</v>
      </c>
    </row>
    <row r="168" spans="1:6" x14ac:dyDescent="0.3">
      <c r="A168" s="4" t="s">
        <v>6</v>
      </c>
      <c r="B168" s="4" t="s">
        <v>175</v>
      </c>
      <c r="C168" s="5">
        <v>0.35476000000000002</v>
      </c>
      <c r="D168" s="5">
        <v>0.38135000000000002</v>
      </c>
      <c r="E168" s="5">
        <v>0.3382</v>
      </c>
      <c r="F168" s="5">
        <v>0.13553999999999999</v>
      </c>
    </row>
    <row r="169" spans="1:6" x14ac:dyDescent="0.3">
      <c r="A169" s="4" t="s">
        <v>7</v>
      </c>
      <c r="B169" s="4" t="s">
        <v>171</v>
      </c>
      <c r="C169" s="5" t="s">
        <v>309</v>
      </c>
      <c r="D169" s="5" t="s">
        <v>310</v>
      </c>
      <c r="E169" s="5" t="s">
        <v>311</v>
      </c>
      <c r="F169" s="5" t="s">
        <v>312</v>
      </c>
    </row>
    <row r="170" spans="1:6" x14ac:dyDescent="0.3">
      <c r="A170" s="4" t="s">
        <v>7</v>
      </c>
      <c r="B170" s="4" t="s">
        <v>173</v>
      </c>
      <c r="C170" s="5">
        <v>0.16169</v>
      </c>
      <c r="D170" s="5">
        <v>9.7689999999999999E-2</v>
      </c>
      <c r="E170" s="5">
        <v>0.151</v>
      </c>
      <c r="F170" s="5">
        <v>0.26429000000000002</v>
      </c>
    </row>
    <row r="171" spans="1:6" x14ac:dyDescent="0.3">
      <c r="A171" s="4" t="s">
        <v>7</v>
      </c>
      <c r="B171" s="4" t="s">
        <v>174</v>
      </c>
      <c r="C171" s="5">
        <v>0.15928999999999999</v>
      </c>
      <c r="D171" s="5">
        <v>0.23494999999999999</v>
      </c>
      <c r="E171" s="5">
        <v>5.0729999999999997E-2</v>
      </c>
      <c r="F171" s="5" t="s">
        <v>313</v>
      </c>
    </row>
    <row r="172" spans="1:6" x14ac:dyDescent="0.3">
      <c r="A172" s="4" t="s">
        <v>7</v>
      </c>
      <c r="B172" s="4" t="s">
        <v>175</v>
      </c>
      <c r="C172" s="5">
        <v>0.32828000000000002</v>
      </c>
      <c r="D172" s="5">
        <v>0.27324999999999999</v>
      </c>
      <c r="E172" s="5">
        <v>0.14262</v>
      </c>
      <c r="F172" s="5">
        <v>0.10657999999999999</v>
      </c>
    </row>
    <row r="173" spans="1:6" x14ac:dyDescent="0.3">
      <c r="A173" s="4" t="s">
        <v>8</v>
      </c>
      <c r="B173" s="4" t="s">
        <v>171</v>
      </c>
      <c r="C173" s="5" t="s">
        <v>314</v>
      </c>
      <c r="D173" s="5" t="s">
        <v>315</v>
      </c>
      <c r="E173" s="5" t="s">
        <v>316</v>
      </c>
      <c r="F173" s="5" t="s">
        <v>317</v>
      </c>
    </row>
    <row r="174" spans="1:6" x14ac:dyDescent="0.3">
      <c r="A174" s="4" t="s">
        <v>8</v>
      </c>
      <c r="B174" s="4" t="s">
        <v>173</v>
      </c>
      <c r="C174" s="5" t="s">
        <v>318</v>
      </c>
      <c r="D174" s="5" t="s">
        <v>319</v>
      </c>
      <c r="E174" s="5" t="s">
        <v>320</v>
      </c>
      <c r="F174" s="5">
        <v>5.3129999999999997E-2</v>
      </c>
    </row>
    <row r="175" spans="1:6" x14ac:dyDescent="0.3">
      <c r="A175" s="4" t="s">
        <v>8</v>
      </c>
      <c r="B175" s="4" t="s">
        <v>174</v>
      </c>
      <c r="C175" s="5" t="s">
        <v>321</v>
      </c>
      <c r="D175" s="5" t="s">
        <v>322</v>
      </c>
      <c r="E175" s="5" t="s">
        <v>323</v>
      </c>
      <c r="F175" s="5" t="s">
        <v>324</v>
      </c>
    </row>
    <row r="176" spans="1:6" x14ac:dyDescent="0.3">
      <c r="A176" s="4" t="s">
        <v>8</v>
      </c>
      <c r="B176" s="4" t="s">
        <v>175</v>
      </c>
      <c r="C176" s="5" t="s">
        <v>325</v>
      </c>
      <c r="D176" s="5" t="s">
        <v>326</v>
      </c>
      <c r="E176" s="5" t="s">
        <v>327</v>
      </c>
      <c r="F176" s="5" t="s">
        <v>328</v>
      </c>
    </row>
    <row r="179" spans="1:6" x14ac:dyDescent="0.3">
      <c r="A179" t="s">
        <v>65</v>
      </c>
    </row>
    <row r="180" spans="1:6" x14ac:dyDescent="0.3">
      <c r="A180" t="s">
        <v>169</v>
      </c>
      <c r="B180" t="s">
        <v>1</v>
      </c>
      <c r="C180" t="s">
        <v>38</v>
      </c>
      <c r="D180" t="s">
        <v>39</v>
      </c>
      <c r="E180" t="s">
        <v>40</v>
      </c>
      <c r="F180" t="s">
        <v>41</v>
      </c>
    </row>
    <row r="181" spans="1:6" x14ac:dyDescent="0.3">
      <c r="A181" t="s">
        <v>6</v>
      </c>
      <c r="B181" s="1">
        <v>0.5</v>
      </c>
      <c r="C181" s="1">
        <v>0.58457300000000001</v>
      </c>
      <c r="D181" s="1">
        <v>0.51785700000000001</v>
      </c>
      <c r="E181" s="1">
        <v>0.58705399999999996</v>
      </c>
      <c r="F181" s="1">
        <v>0.58159700000000003</v>
      </c>
    </row>
    <row r="182" spans="1:6" x14ac:dyDescent="0.3">
      <c r="A182" t="s">
        <v>7</v>
      </c>
      <c r="B182" s="1">
        <v>0.41261599999999998</v>
      </c>
      <c r="C182" s="1">
        <v>0.58879000000000004</v>
      </c>
      <c r="D182" s="1">
        <v>0.52505000000000002</v>
      </c>
      <c r="E182" s="1">
        <v>0.61979200000000001</v>
      </c>
      <c r="F182" s="1">
        <v>0.62723200000000001</v>
      </c>
    </row>
    <row r="183" spans="1:6" x14ac:dyDescent="0.3">
      <c r="A183" t="s">
        <v>8</v>
      </c>
      <c r="B183" s="1">
        <v>0.56076400000000004</v>
      </c>
      <c r="C183" s="1">
        <v>0.62995999999999996</v>
      </c>
      <c r="D183" s="1">
        <v>0.539435</v>
      </c>
      <c r="E183" s="1">
        <v>0.55183499999999996</v>
      </c>
      <c r="F183" s="1">
        <v>0.57366099999999998</v>
      </c>
    </row>
    <row r="185" spans="1:6" x14ac:dyDescent="0.3">
      <c r="A185" s="4" t="s">
        <v>329</v>
      </c>
    </row>
    <row r="186" spans="1:6" x14ac:dyDescent="0.3">
      <c r="A186" s="3" t="s">
        <v>169</v>
      </c>
      <c r="B186" s="3" t="s">
        <v>170</v>
      </c>
      <c r="C186" s="3" t="s">
        <v>9</v>
      </c>
      <c r="D186" s="3" t="s">
        <v>34</v>
      </c>
      <c r="E186" s="3" t="s">
        <v>35</v>
      </c>
      <c r="F186" s="3" t="s">
        <v>36</v>
      </c>
    </row>
    <row r="187" spans="1:6" x14ac:dyDescent="0.3">
      <c r="A187" s="4" t="s">
        <v>6</v>
      </c>
      <c r="B187" s="4" t="s">
        <v>171</v>
      </c>
      <c r="C187" s="5" t="s">
        <v>330</v>
      </c>
      <c r="D187" s="5">
        <v>0.19569</v>
      </c>
      <c r="E187" s="5" t="s">
        <v>331</v>
      </c>
      <c r="F187" s="5" t="s">
        <v>332</v>
      </c>
    </row>
    <row r="188" spans="1:6" x14ac:dyDescent="0.3">
      <c r="A188" s="4" t="s">
        <v>6</v>
      </c>
      <c r="B188" s="4" t="s">
        <v>173</v>
      </c>
      <c r="C188" s="5">
        <v>7.1429999999999993E-2</v>
      </c>
      <c r="D188" s="5">
        <v>0.21354000000000001</v>
      </c>
      <c r="E188" s="5">
        <v>4.4400000000000002E-2</v>
      </c>
      <c r="F188" s="5">
        <v>5.6050000000000003E-2</v>
      </c>
    </row>
    <row r="189" spans="1:6" x14ac:dyDescent="0.3">
      <c r="A189" s="4" t="s">
        <v>6</v>
      </c>
      <c r="B189" s="4" t="s">
        <v>174</v>
      </c>
      <c r="C189" s="5" t="s">
        <v>333</v>
      </c>
      <c r="D189" s="5" t="s">
        <v>334</v>
      </c>
      <c r="E189" s="5" t="s">
        <v>335</v>
      </c>
      <c r="F189" s="5">
        <v>3.125E-2</v>
      </c>
    </row>
    <row r="190" spans="1:6" x14ac:dyDescent="0.3">
      <c r="A190" s="4" t="s">
        <v>6</v>
      </c>
      <c r="B190" s="4" t="s">
        <v>175</v>
      </c>
      <c r="C190" s="5" t="s">
        <v>336</v>
      </c>
      <c r="D190" s="5" t="s">
        <v>337</v>
      </c>
      <c r="E190" s="5" t="s">
        <v>338</v>
      </c>
      <c r="F190" s="5">
        <v>0.11285000000000001</v>
      </c>
    </row>
    <row r="191" spans="1:6" x14ac:dyDescent="0.3">
      <c r="A191" s="4" t="s">
        <v>7</v>
      </c>
      <c r="B191" s="4" t="s">
        <v>171</v>
      </c>
      <c r="C191" s="5">
        <v>1.6119999999999999E-2</v>
      </c>
      <c r="D191" s="5">
        <v>0.26934999999999998</v>
      </c>
      <c r="E191" s="5">
        <v>0.15575</v>
      </c>
      <c r="F191" s="5" t="s">
        <v>339</v>
      </c>
    </row>
    <row r="192" spans="1:6" x14ac:dyDescent="0.3">
      <c r="A192" s="4" t="s">
        <v>7</v>
      </c>
      <c r="B192" s="4" t="s">
        <v>173</v>
      </c>
      <c r="C192" s="5">
        <v>0.1923</v>
      </c>
      <c r="D192" s="5">
        <v>0.38178000000000001</v>
      </c>
      <c r="E192" s="5">
        <v>0.36292999999999997</v>
      </c>
      <c r="F192" s="5">
        <v>0.18559999999999999</v>
      </c>
    </row>
    <row r="193" spans="1:6" x14ac:dyDescent="0.3">
      <c r="A193" s="4" t="s">
        <v>7</v>
      </c>
      <c r="B193" s="4" t="s">
        <v>174</v>
      </c>
      <c r="C193" s="5" t="s">
        <v>340</v>
      </c>
      <c r="D193" s="5" t="s">
        <v>341</v>
      </c>
      <c r="E193" s="5" t="s">
        <v>342</v>
      </c>
      <c r="F193" s="5" t="s">
        <v>343</v>
      </c>
    </row>
    <row r="194" spans="1:6" x14ac:dyDescent="0.3">
      <c r="A194" s="4" t="s">
        <v>7</v>
      </c>
      <c r="B194" s="4" t="s">
        <v>175</v>
      </c>
      <c r="C194" s="5">
        <v>0.01</v>
      </c>
      <c r="D194" s="5">
        <v>2.8850000000000001E-2</v>
      </c>
      <c r="E194" s="5" t="s">
        <v>344</v>
      </c>
      <c r="F194" s="5">
        <v>0.20346</v>
      </c>
    </row>
    <row r="195" spans="1:6" x14ac:dyDescent="0.3">
      <c r="A195" s="4" t="s">
        <v>8</v>
      </c>
      <c r="B195" s="4" t="s">
        <v>171</v>
      </c>
      <c r="C195" s="5">
        <v>6.3490000000000005E-2</v>
      </c>
      <c r="D195" s="5">
        <v>0.22644</v>
      </c>
      <c r="E195" s="5">
        <v>1.538E-2</v>
      </c>
      <c r="F195" s="5" t="s">
        <v>345</v>
      </c>
    </row>
    <row r="196" spans="1:6" x14ac:dyDescent="0.3">
      <c r="A196" s="4" t="s">
        <v>8</v>
      </c>
      <c r="B196" s="4" t="s">
        <v>173</v>
      </c>
      <c r="C196" s="5">
        <v>0.13269</v>
      </c>
      <c r="D196" s="5">
        <v>0.20510999999999999</v>
      </c>
      <c r="E196" s="5">
        <v>6.45E-3</v>
      </c>
      <c r="F196" s="5" t="s">
        <v>346</v>
      </c>
    </row>
    <row r="197" spans="1:6" x14ac:dyDescent="0.3">
      <c r="A197" s="4" t="s">
        <v>8</v>
      </c>
      <c r="B197" s="4" t="s">
        <v>174</v>
      </c>
      <c r="C197" s="5" t="s">
        <v>347</v>
      </c>
      <c r="D197" s="5">
        <v>6.8199999999999997E-2</v>
      </c>
      <c r="E197" s="5" t="s">
        <v>348</v>
      </c>
      <c r="F197" s="5">
        <v>5.0599999999999999E-2</v>
      </c>
    </row>
    <row r="198" spans="1:6" x14ac:dyDescent="0.3">
      <c r="A198" s="4" t="s">
        <v>8</v>
      </c>
      <c r="B198" s="4" t="s">
        <v>175</v>
      </c>
      <c r="C198" s="5" t="s">
        <v>349</v>
      </c>
      <c r="D198" s="5">
        <v>4.7870000000000003E-2</v>
      </c>
      <c r="E198" s="5" t="s">
        <v>350</v>
      </c>
      <c r="F198" s="5" t="s">
        <v>351</v>
      </c>
    </row>
    <row r="201" spans="1:6" x14ac:dyDescent="0.3">
      <c r="A201" t="s">
        <v>67</v>
      </c>
    </row>
    <row r="202" spans="1:6" x14ac:dyDescent="0.3">
      <c r="A202" t="s">
        <v>169</v>
      </c>
      <c r="B202" t="s">
        <v>1</v>
      </c>
      <c r="C202" t="s">
        <v>38</v>
      </c>
      <c r="D202" t="s">
        <v>39</v>
      </c>
      <c r="E202" t="s">
        <v>40</v>
      </c>
      <c r="F202" t="s">
        <v>41</v>
      </c>
    </row>
    <row r="203" spans="1:6" x14ac:dyDescent="0.3">
      <c r="A203" t="s">
        <v>6</v>
      </c>
      <c r="B203" s="1">
        <v>0.5</v>
      </c>
      <c r="C203" s="1">
        <v>0.89115100000000003</v>
      </c>
      <c r="D203" s="1">
        <v>0.929365</v>
      </c>
      <c r="E203" s="1">
        <v>0.95896800000000004</v>
      </c>
      <c r="F203" s="1">
        <v>0.95202399999999998</v>
      </c>
    </row>
    <row r="204" spans="1:6" x14ac:dyDescent="0.3">
      <c r="A204" t="s">
        <v>7</v>
      </c>
      <c r="B204" s="1">
        <v>0.64055600000000001</v>
      </c>
      <c r="C204" s="1">
        <v>0.88559500000000002</v>
      </c>
      <c r="D204" s="1">
        <v>0.94111100000000003</v>
      </c>
      <c r="E204" s="1">
        <v>0.96488099999999999</v>
      </c>
      <c r="F204" s="1">
        <v>0.95896800000000004</v>
      </c>
    </row>
    <row r="205" spans="1:6" x14ac:dyDescent="0.3">
      <c r="A205" t="s">
        <v>8</v>
      </c>
      <c r="B205" s="1">
        <v>0.93509299999999995</v>
      </c>
      <c r="C205" s="1">
        <v>0.83932499999999999</v>
      </c>
      <c r="D205" s="1">
        <v>0.92761899999999997</v>
      </c>
      <c r="E205" s="1">
        <v>0.96230199999999999</v>
      </c>
      <c r="F205" s="1">
        <v>0.95111100000000004</v>
      </c>
    </row>
    <row r="207" spans="1:6" x14ac:dyDescent="0.3">
      <c r="A207" s="4" t="s">
        <v>352</v>
      </c>
    </row>
    <row r="208" spans="1:6" x14ac:dyDescent="0.3">
      <c r="A208" s="3" t="s">
        <v>169</v>
      </c>
      <c r="B208" s="3" t="s">
        <v>170</v>
      </c>
      <c r="C208" s="3" t="s">
        <v>9</v>
      </c>
      <c r="D208" s="3" t="s">
        <v>34</v>
      </c>
      <c r="E208" s="3" t="s">
        <v>35</v>
      </c>
      <c r="F208" s="3" t="s">
        <v>36</v>
      </c>
    </row>
    <row r="209" spans="1:6" x14ac:dyDescent="0.3">
      <c r="A209" s="4" t="s">
        <v>6</v>
      </c>
      <c r="B209" s="4" t="s">
        <v>171</v>
      </c>
      <c r="C209" s="5" t="s">
        <v>353</v>
      </c>
      <c r="D209" s="5" t="s">
        <v>354</v>
      </c>
      <c r="E209" s="5" t="s">
        <v>355</v>
      </c>
      <c r="F209" s="5">
        <v>7.5000000000000002E-4</v>
      </c>
    </row>
    <row r="210" spans="1:6" x14ac:dyDescent="0.3">
      <c r="A210" s="4" t="s">
        <v>6</v>
      </c>
      <c r="B210" s="4" t="s">
        <v>173</v>
      </c>
      <c r="C210" s="5">
        <v>0.23916999999999999</v>
      </c>
      <c r="D210" s="5">
        <v>0.22947999999999999</v>
      </c>
      <c r="E210" s="5">
        <v>0.12544</v>
      </c>
      <c r="F210" s="5">
        <v>0.45278000000000002</v>
      </c>
    </row>
    <row r="211" spans="1:6" x14ac:dyDescent="0.3">
      <c r="A211" s="4" t="s">
        <v>6</v>
      </c>
      <c r="B211" s="4" t="s">
        <v>174</v>
      </c>
      <c r="C211" s="5" t="s">
        <v>356</v>
      </c>
      <c r="D211" s="5" t="s">
        <v>357</v>
      </c>
      <c r="E211" s="5" t="s">
        <v>358</v>
      </c>
      <c r="F211" s="5" t="s">
        <v>359</v>
      </c>
    </row>
    <row r="212" spans="1:6" x14ac:dyDescent="0.3">
      <c r="A212" s="4" t="s">
        <v>6</v>
      </c>
      <c r="B212" s="4" t="s">
        <v>175</v>
      </c>
      <c r="C212" s="5">
        <v>0.22170999999999999</v>
      </c>
      <c r="D212" s="5">
        <v>0.20233999999999999</v>
      </c>
      <c r="E212" s="5">
        <v>0.22975999999999999</v>
      </c>
      <c r="F212" s="5">
        <v>0.10614999999999999</v>
      </c>
    </row>
    <row r="213" spans="1:6" x14ac:dyDescent="0.3">
      <c r="A213" s="4" t="s">
        <v>7</v>
      </c>
      <c r="B213" s="4" t="s">
        <v>171</v>
      </c>
      <c r="C213" s="5" t="s">
        <v>360</v>
      </c>
      <c r="D213" s="5" t="s">
        <v>361</v>
      </c>
      <c r="E213" s="5" t="s">
        <v>362</v>
      </c>
      <c r="F213" s="5" t="s">
        <v>363</v>
      </c>
    </row>
    <row r="214" spans="1:6" x14ac:dyDescent="0.3">
      <c r="A214" s="4" t="s">
        <v>7</v>
      </c>
      <c r="B214" s="4" t="s">
        <v>173</v>
      </c>
      <c r="C214" s="5">
        <v>0.19309999999999999</v>
      </c>
      <c r="D214" s="5">
        <v>0.15967999999999999</v>
      </c>
      <c r="E214" s="5">
        <v>0.20868999999999999</v>
      </c>
      <c r="F214" s="5">
        <v>0.31324999999999997</v>
      </c>
    </row>
    <row r="215" spans="1:6" x14ac:dyDescent="0.3">
      <c r="A215" s="4" t="s">
        <v>7</v>
      </c>
      <c r="B215" s="4" t="s">
        <v>174</v>
      </c>
      <c r="C215" s="5" t="s">
        <v>364</v>
      </c>
      <c r="D215" s="5" t="s">
        <v>365</v>
      </c>
      <c r="E215" s="5" t="s">
        <v>366</v>
      </c>
      <c r="F215" s="5" t="s">
        <v>367</v>
      </c>
    </row>
    <row r="216" spans="1:6" x14ac:dyDescent="0.3">
      <c r="A216" s="4" t="s">
        <v>7</v>
      </c>
      <c r="B216" s="4" t="s">
        <v>175</v>
      </c>
      <c r="C216" s="5">
        <v>7.8810000000000005E-2</v>
      </c>
      <c r="D216" s="5">
        <v>2.4670000000000001E-2</v>
      </c>
      <c r="E216" s="5">
        <v>1.204E-2</v>
      </c>
      <c r="F216" s="5" t="s">
        <v>368</v>
      </c>
    </row>
    <row r="217" spans="1:6" x14ac:dyDescent="0.3">
      <c r="A217" s="4" t="s">
        <v>8</v>
      </c>
      <c r="B217" s="4" t="s">
        <v>171</v>
      </c>
      <c r="C217" s="5" t="s">
        <v>369</v>
      </c>
      <c r="D217" s="5" t="s">
        <v>370</v>
      </c>
      <c r="E217" s="5" t="s">
        <v>371</v>
      </c>
      <c r="F217" s="5" t="s">
        <v>372</v>
      </c>
    </row>
    <row r="218" spans="1:6" x14ac:dyDescent="0.3">
      <c r="A218" s="4" t="s">
        <v>8</v>
      </c>
      <c r="B218" s="4" t="s">
        <v>173</v>
      </c>
      <c r="C218" s="5" t="s">
        <v>373</v>
      </c>
      <c r="D218" s="5" t="s">
        <v>374</v>
      </c>
      <c r="E218" s="5" t="s">
        <v>375</v>
      </c>
      <c r="F218" s="5">
        <v>4.1610000000000001E-2</v>
      </c>
    </row>
    <row r="219" spans="1:6" x14ac:dyDescent="0.3">
      <c r="A219" s="4" t="s">
        <v>8</v>
      </c>
      <c r="B219" s="4" t="s">
        <v>174</v>
      </c>
      <c r="C219" s="5" t="s">
        <v>376</v>
      </c>
      <c r="D219" s="5" t="s">
        <v>377</v>
      </c>
      <c r="E219" s="5" t="s">
        <v>378</v>
      </c>
      <c r="F219" s="5" t="s">
        <v>326</v>
      </c>
    </row>
    <row r="220" spans="1:6" x14ac:dyDescent="0.3">
      <c r="A220" s="4" t="s">
        <v>8</v>
      </c>
      <c r="B220" s="4" t="s">
        <v>175</v>
      </c>
      <c r="C220" s="5" t="s">
        <v>379</v>
      </c>
      <c r="D220" s="5" t="s">
        <v>380</v>
      </c>
      <c r="E220" s="5" t="s">
        <v>381</v>
      </c>
      <c r="F220" s="5" t="s">
        <v>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4F9CC-6E59-47A2-8310-95B8E36A958B}">
  <dimension ref="A1:D191"/>
  <sheetViews>
    <sheetView topLeftCell="A156" workbookViewId="0">
      <selection activeCell="C2" sqref="C2"/>
    </sheetView>
  </sheetViews>
  <sheetFormatPr defaultRowHeight="14.4" x14ac:dyDescent="0.3"/>
  <cols>
    <col min="1" max="1" width="16.33203125" bestFit="1" customWidth="1"/>
    <col min="2" max="3" width="17.44140625" bestFit="1" customWidth="1"/>
    <col min="4" max="4" width="17.77734375" bestFit="1" customWidth="1"/>
  </cols>
  <sheetData>
    <row r="1" spans="1:4" x14ac:dyDescent="0.3">
      <c r="A1" t="s">
        <v>383</v>
      </c>
    </row>
    <row r="2" spans="1:4" x14ac:dyDescent="0.3">
      <c r="A2" t="s">
        <v>384</v>
      </c>
      <c r="B2" t="s">
        <v>385</v>
      </c>
      <c r="C2" t="s">
        <v>386</v>
      </c>
      <c r="D2" t="s">
        <v>387</v>
      </c>
    </row>
    <row r="3" spans="1:4" x14ac:dyDescent="0.3">
      <c r="A3">
        <v>943.3</v>
      </c>
      <c r="B3">
        <v>1300.8</v>
      </c>
      <c r="C3">
        <v>1458.9</v>
      </c>
      <c r="D3">
        <v>2002.3</v>
      </c>
    </row>
    <row r="4" spans="1:4" x14ac:dyDescent="0.3">
      <c r="A4">
        <v>1015.2</v>
      </c>
      <c r="B4">
        <v>1400.1</v>
      </c>
      <c r="C4">
        <v>1598.6</v>
      </c>
      <c r="D4">
        <v>2217.5</v>
      </c>
    </row>
    <row r="5" spans="1:4" x14ac:dyDescent="0.3">
      <c r="A5">
        <v>1102.2</v>
      </c>
      <c r="B5">
        <v>1473.7</v>
      </c>
      <c r="C5">
        <v>1701.3</v>
      </c>
      <c r="D5">
        <v>2352.8000000000002</v>
      </c>
    </row>
    <row r="6" spans="1:4" x14ac:dyDescent="0.3">
      <c r="A6">
        <v>1137.8</v>
      </c>
      <c r="B6">
        <v>1556.8</v>
      </c>
      <c r="C6">
        <v>1785.6</v>
      </c>
      <c r="D6">
        <v>2453.8000000000002</v>
      </c>
    </row>
    <row r="7" spans="1:4" x14ac:dyDescent="0.3">
      <c r="A7">
        <v>1210.8</v>
      </c>
      <c r="B7">
        <v>1626.3</v>
      </c>
      <c r="C7">
        <v>1868.2</v>
      </c>
      <c r="D7">
        <v>2554.5</v>
      </c>
    </row>
    <row r="8" spans="1:4" x14ac:dyDescent="0.3">
      <c r="A8">
        <v>1278.7</v>
      </c>
      <c r="B8">
        <v>1680.8</v>
      </c>
      <c r="C8">
        <v>1956.9</v>
      </c>
      <c r="D8">
        <v>2663.7</v>
      </c>
    </row>
    <row r="9" spans="1:4" x14ac:dyDescent="0.3">
      <c r="A9">
        <v>1332.5</v>
      </c>
      <c r="B9">
        <v>1754.7</v>
      </c>
      <c r="C9">
        <v>2018.6</v>
      </c>
      <c r="D9">
        <v>2740.6</v>
      </c>
    </row>
    <row r="10" spans="1:4" x14ac:dyDescent="0.3">
      <c r="A10">
        <v>1421.4</v>
      </c>
      <c r="B10">
        <v>1841.2</v>
      </c>
      <c r="C10">
        <v>2122.4</v>
      </c>
      <c r="D10">
        <v>2864.3</v>
      </c>
    </row>
    <row r="11" spans="1:4" x14ac:dyDescent="0.3">
      <c r="A11">
        <v>1479.5</v>
      </c>
      <c r="B11">
        <v>1938.1</v>
      </c>
      <c r="C11">
        <v>2204.6999999999998</v>
      </c>
      <c r="D11">
        <v>2978.1</v>
      </c>
    </row>
    <row r="12" spans="1:4" x14ac:dyDescent="0.3">
      <c r="A12">
        <v>1528.1</v>
      </c>
      <c r="B12">
        <v>2029.3</v>
      </c>
      <c r="C12">
        <v>2270.8000000000002</v>
      </c>
      <c r="D12">
        <v>3104.9</v>
      </c>
    </row>
    <row r="13" spans="1:4" x14ac:dyDescent="0.3">
      <c r="A13">
        <v>1617.3</v>
      </c>
      <c r="B13">
        <v>2084.9</v>
      </c>
      <c r="C13">
        <v>2355.1999999999998</v>
      </c>
      <c r="D13">
        <v>3005.4</v>
      </c>
    </row>
    <row r="14" spans="1:4" x14ac:dyDescent="0.3">
      <c r="A14">
        <v>1687.1</v>
      </c>
      <c r="B14">
        <v>2205.6</v>
      </c>
      <c r="C14">
        <v>2455.1999999999998</v>
      </c>
      <c r="D14">
        <v>3099.7</v>
      </c>
    </row>
    <row r="15" spans="1:4" x14ac:dyDescent="0.3">
      <c r="A15">
        <v>1750.7</v>
      </c>
      <c r="B15">
        <v>2127.5</v>
      </c>
      <c r="C15">
        <v>2546.6</v>
      </c>
      <c r="D15">
        <v>3219.2</v>
      </c>
    </row>
    <row r="16" spans="1:4" x14ac:dyDescent="0.3">
      <c r="A16">
        <v>1845.2</v>
      </c>
      <c r="B16">
        <v>2215.9</v>
      </c>
      <c r="C16">
        <v>2620.5</v>
      </c>
      <c r="D16">
        <v>3350.7</v>
      </c>
    </row>
    <row r="17" spans="1:4" x14ac:dyDescent="0.3">
      <c r="A17">
        <v>1938.4</v>
      </c>
      <c r="B17">
        <v>2146.9</v>
      </c>
      <c r="C17">
        <v>2751.8</v>
      </c>
      <c r="D17">
        <v>3453.5</v>
      </c>
    </row>
    <row r="18" spans="1:4" x14ac:dyDescent="0.3">
      <c r="A18">
        <v>1951.4</v>
      </c>
      <c r="B18">
        <v>2250.6999999999998</v>
      </c>
      <c r="C18">
        <v>2862.7</v>
      </c>
      <c r="D18">
        <v>3506.1</v>
      </c>
    </row>
    <row r="19" spans="1:4" x14ac:dyDescent="0.3">
      <c r="A19">
        <v>2059.4</v>
      </c>
      <c r="B19">
        <v>2364.1999999999998</v>
      </c>
      <c r="C19">
        <v>2951</v>
      </c>
      <c r="D19">
        <v>3585.1</v>
      </c>
    </row>
    <row r="20" spans="1:4" x14ac:dyDescent="0.3">
      <c r="A20">
        <v>2046</v>
      </c>
      <c r="B20">
        <v>2259.9</v>
      </c>
      <c r="C20">
        <v>3025.5</v>
      </c>
      <c r="D20">
        <v>3702.8</v>
      </c>
    </row>
    <row r="21" spans="1:4" x14ac:dyDescent="0.3">
      <c r="A21">
        <v>2142.1999999999998</v>
      </c>
      <c r="B21">
        <v>2423.3000000000002</v>
      </c>
      <c r="C21">
        <v>3095.9</v>
      </c>
      <c r="D21">
        <v>3858.1</v>
      </c>
    </row>
    <row r="22" spans="1:4" x14ac:dyDescent="0.3">
      <c r="A22">
        <v>2215.9</v>
      </c>
      <c r="B22">
        <v>2456.1</v>
      </c>
      <c r="C22">
        <v>3156.4</v>
      </c>
      <c r="D22">
        <v>3958.2</v>
      </c>
    </row>
    <row r="23" spans="1:4" x14ac:dyDescent="0.3">
      <c r="A23">
        <v>2280.8000000000002</v>
      </c>
      <c r="B23">
        <v>2496.5</v>
      </c>
      <c r="C23">
        <v>3223.6</v>
      </c>
      <c r="D23">
        <v>4103.6000000000004</v>
      </c>
    </row>
    <row r="24" spans="1:4" x14ac:dyDescent="0.3">
      <c r="A24">
        <v>2378.6999999999998</v>
      </c>
      <c r="B24">
        <v>2651.9</v>
      </c>
      <c r="C24">
        <v>3337.3</v>
      </c>
      <c r="D24">
        <v>4254.8</v>
      </c>
    </row>
    <row r="25" spans="1:4" x14ac:dyDescent="0.3">
      <c r="A25">
        <v>2480.1999999999998</v>
      </c>
      <c r="B25">
        <v>2770.4</v>
      </c>
      <c r="C25">
        <v>3424.2</v>
      </c>
      <c r="D25">
        <v>4370</v>
      </c>
    </row>
    <row r="26" spans="1:4" x14ac:dyDescent="0.3">
      <c r="A26">
        <v>2598.9</v>
      </c>
      <c r="B26">
        <v>2735.9</v>
      </c>
      <c r="C26">
        <v>2834.6</v>
      </c>
      <c r="D26">
        <v>4481.7</v>
      </c>
    </row>
    <row r="27" spans="1:4" x14ac:dyDescent="0.3">
      <c r="A27">
        <v>2715.8</v>
      </c>
      <c r="B27">
        <v>2885.4</v>
      </c>
      <c r="C27">
        <v>2250.5</v>
      </c>
      <c r="D27">
        <v>4680.2</v>
      </c>
    </row>
    <row r="28" spans="1:4" x14ac:dyDescent="0.3">
      <c r="A28">
        <v>2822.2</v>
      </c>
      <c r="B28">
        <v>3006.5</v>
      </c>
      <c r="C28">
        <v>2881.6</v>
      </c>
      <c r="D28">
        <v>4841.3</v>
      </c>
    </row>
    <row r="29" spans="1:4" x14ac:dyDescent="0.3">
      <c r="A29">
        <v>2898.3</v>
      </c>
      <c r="B29">
        <v>2889.9</v>
      </c>
      <c r="C29">
        <v>2910.8</v>
      </c>
      <c r="D29">
        <v>4954.1000000000004</v>
      </c>
    </row>
    <row r="30" spans="1:4" x14ac:dyDescent="0.3">
      <c r="A30">
        <v>2944.4</v>
      </c>
      <c r="B30">
        <v>2977.3</v>
      </c>
      <c r="C30">
        <v>3023.7</v>
      </c>
      <c r="D30">
        <v>4994.8999999999996</v>
      </c>
    </row>
    <row r="31" spans="1:4" x14ac:dyDescent="0.3">
      <c r="A31">
        <v>3112.5</v>
      </c>
      <c r="B31">
        <v>3100.1</v>
      </c>
      <c r="C31">
        <v>3083.3</v>
      </c>
      <c r="D31">
        <v>4692.2</v>
      </c>
    </row>
    <row r="32" spans="1:4" x14ac:dyDescent="0.3">
      <c r="A32">
        <v>3299.1</v>
      </c>
      <c r="B32">
        <v>3225.1</v>
      </c>
      <c r="C32">
        <v>3233.6</v>
      </c>
      <c r="D32">
        <v>4850.7</v>
      </c>
    </row>
    <row r="33" spans="1:4" x14ac:dyDescent="0.3">
      <c r="A33">
        <v>3489.4</v>
      </c>
      <c r="B33">
        <v>3187.1</v>
      </c>
      <c r="C33">
        <v>3321.2</v>
      </c>
      <c r="D33">
        <v>4543.8999999999996</v>
      </c>
    </row>
    <row r="34" spans="1:4" x14ac:dyDescent="0.3">
      <c r="A34">
        <v>3543</v>
      </c>
      <c r="B34">
        <v>3282.7</v>
      </c>
      <c r="C34">
        <v>3445</v>
      </c>
      <c r="D34">
        <v>4736.3999999999996</v>
      </c>
    </row>
    <row r="35" spans="1:4" x14ac:dyDescent="0.3">
      <c r="A35">
        <v>3489.9</v>
      </c>
      <c r="B35">
        <v>3466.3</v>
      </c>
      <c r="C35">
        <v>3619.7</v>
      </c>
      <c r="D35">
        <v>4742.8</v>
      </c>
    </row>
    <row r="36" spans="1:4" x14ac:dyDescent="0.3">
      <c r="A36">
        <v>3532.2</v>
      </c>
      <c r="B36">
        <v>3657.7</v>
      </c>
      <c r="C36">
        <v>3796.3</v>
      </c>
      <c r="D36">
        <v>4844</v>
      </c>
    </row>
    <row r="37" spans="1:4" x14ac:dyDescent="0.3">
      <c r="A37">
        <v>3601.5</v>
      </c>
      <c r="B37">
        <v>3616.6</v>
      </c>
      <c r="C37">
        <v>3740</v>
      </c>
      <c r="D37">
        <v>4003.5</v>
      </c>
    </row>
    <row r="38" spans="1:4" x14ac:dyDescent="0.3">
      <c r="A38">
        <v>3744.6</v>
      </c>
      <c r="B38">
        <v>3592.7</v>
      </c>
      <c r="C38">
        <v>3704</v>
      </c>
      <c r="D38">
        <v>4263.1000000000004</v>
      </c>
    </row>
    <row r="39" spans="1:4" x14ac:dyDescent="0.3">
      <c r="A39">
        <v>3916.1</v>
      </c>
      <c r="B39">
        <v>3698.3</v>
      </c>
      <c r="C39">
        <v>3722.8</v>
      </c>
      <c r="D39">
        <v>4413.6000000000004</v>
      </c>
    </row>
    <row r="40" spans="1:4" x14ac:dyDescent="0.3">
      <c r="A40">
        <v>3817.5</v>
      </c>
      <c r="B40">
        <v>3831.5</v>
      </c>
      <c r="C40">
        <v>3988.7</v>
      </c>
      <c r="D40">
        <v>5117.2</v>
      </c>
    </row>
    <row r="41" spans="1:4" x14ac:dyDescent="0.3">
      <c r="A41">
        <v>3863.2</v>
      </c>
      <c r="B41">
        <v>3928.3</v>
      </c>
      <c r="C41">
        <v>4275.2</v>
      </c>
      <c r="D41">
        <v>4741.3999999999996</v>
      </c>
    </row>
    <row r="42" spans="1:4" x14ac:dyDescent="0.3">
      <c r="A42">
        <v>3912.9</v>
      </c>
      <c r="B42">
        <v>3886</v>
      </c>
      <c r="C42">
        <v>4457.7</v>
      </c>
      <c r="D42">
        <v>4939.7</v>
      </c>
    </row>
    <row r="43" spans="1:4" x14ac:dyDescent="0.3">
      <c r="A43">
        <v>4008.6</v>
      </c>
      <c r="B43">
        <v>4007.1</v>
      </c>
      <c r="C43">
        <v>4619.5</v>
      </c>
      <c r="D43">
        <v>5015.8</v>
      </c>
    </row>
    <row r="44" spans="1:4" x14ac:dyDescent="0.3">
      <c r="A44">
        <v>4155.3999999999996</v>
      </c>
      <c r="B44">
        <v>4129.7</v>
      </c>
      <c r="C44">
        <v>1597.9</v>
      </c>
      <c r="D44">
        <v>4476.2</v>
      </c>
    </row>
    <row r="45" spans="1:4" x14ac:dyDescent="0.3">
      <c r="A45">
        <v>4318.5</v>
      </c>
      <c r="B45">
        <v>4266.8999999999996</v>
      </c>
      <c r="C45">
        <v>4034.6</v>
      </c>
      <c r="D45">
        <v>5694.4</v>
      </c>
    </row>
    <row r="46" spans="1:4" x14ac:dyDescent="0.3">
      <c r="A46">
        <v>4210</v>
      </c>
      <c r="B46">
        <v>4432.2</v>
      </c>
      <c r="C46">
        <v>4035.3</v>
      </c>
      <c r="D46">
        <v>6336.9</v>
      </c>
    </row>
    <row r="47" spans="1:4" x14ac:dyDescent="0.3">
      <c r="A47">
        <v>4275.3999999999996</v>
      </c>
      <c r="B47">
        <v>4347.8</v>
      </c>
      <c r="C47">
        <v>4261.3999999999996</v>
      </c>
      <c r="D47">
        <v>6448.6</v>
      </c>
    </row>
    <row r="48" spans="1:4" x14ac:dyDescent="0.3">
      <c r="A48">
        <v>4370.3999999999996</v>
      </c>
      <c r="B48">
        <v>4437.5</v>
      </c>
      <c r="C48">
        <v>4520.2</v>
      </c>
      <c r="D48">
        <v>6602.8</v>
      </c>
    </row>
    <row r="49" spans="1:4" x14ac:dyDescent="0.3">
      <c r="A49">
        <v>4488.3999999999996</v>
      </c>
      <c r="B49">
        <v>4554.3999999999996</v>
      </c>
      <c r="C49">
        <v>4544.3999999999996</v>
      </c>
      <c r="D49">
        <v>6503.4</v>
      </c>
    </row>
    <row r="50" spans="1:4" x14ac:dyDescent="0.3">
      <c r="A50">
        <v>4638.2</v>
      </c>
      <c r="B50">
        <v>4700.6000000000004</v>
      </c>
      <c r="C50">
        <v>5237.8999999999996</v>
      </c>
      <c r="D50">
        <v>3512.3</v>
      </c>
    </row>
    <row r="51" spans="1:4" x14ac:dyDescent="0.3">
      <c r="A51">
        <v>4798.7</v>
      </c>
      <c r="B51">
        <v>4878.8</v>
      </c>
      <c r="C51">
        <v>5534.8</v>
      </c>
      <c r="D51">
        <v>6777.6</v>
      </c>
    </row>
    <row r="52" spans="1:4" x14ac:dyDescent="0.3">
      <c r="A52">
        <v>4685</v>
      </c>
      <c r="B52">
        <v>5023.5</v>
      </c>
      <c r="C52">
        <v>5758.1</v>
      </c>
      <c r="D52">
        <v>6811.7</v>
      </c>
    </row>
    <row r="53" spans="1:4" x14ac:dyDescent="0.3">
      <c r="A53">
        <v>4752.2</v>
      </c>
      <c r="B53">
        <v>4951</v>
      </c>
      <c r="C53">
        <v>5978.4</v>
      </c>
      <c r="D53">
        <v>6095.6</v>
      </c>
    </row>
    <row r="54" spans="1:4" x14ac:dyDescent="0.3">
      <c r="A54">
        <v>4845.8999999999996</v>
      </c>
      <c r="B54">
        <v>5058.3</v>
      </c>
      <c r="C54">
        <v>6243.8</v>
      </c>
      <c r="D54">
        <v>5900.7</v>
      </c>
    </row>
    <row r="55" spans="1:4" x14ac:dyDescent="0.3">
      <c r="A55">
        <v>4910.1000000000004</v>
      </c>
      <c r="B55">
        <v>5201.1000000000004</v>
      </c>
      <c r="C55">
        <v>6327.8</v>
      </c>
      <c r="D55">
        <v>2019.2</v>
      </c>
    </row>
    <row r="56" spans="1:4" x14ac:dyDescent="0.3">
      <c r="A56">
        <v>1304.2</v>
      </c>
      <c r="B56">
        <v>5367.5</v>
      </c>
      <c r="C56">
        <v>6534.5</v>
      </c>
      <c r="D56">
        <v>7819.6</v>
      </c>
    </row>
    <row r="57" spans="1:4" x14ac:dyDescent="0.3">
      <c r="A57">
        <v>1348.5</v>
      </c>
      <c r="B57">
        <v>5462.5</v>
      </c>
      <c r="C57">
        <v>6703.3</v>
      </c>
      <c r="D57">
        <v>8241.7000000000007</v>
      </c>
    </row>
    <row r="58" spans="1:4" x14ac:dyDescent="0.3">
      <c r="A58">
        <v>4279.2</v>
      </c>
      <c r="B58">
        <v>5487.8</v>
      </c>
      <c r="C58">
        <v>1120.5999999999999</v>
      </c>
      <c r="D58">
        <v>7982.4</v>
      </c>
    </row>
    <row r="59" spans="1:4" x14ac:dyDescent="0.3">
      <c r="A59">
        <v>4344.8999999999996</v>
      </c>
      <c r="B59">
        <v>5374.7</v>
      </c>
      <c r="C59">
        <v>1312.3</v>
      </c>
      <c r="D59">
        <v>7499.1</v>
      </c>
    </row>
    <row r="60" spans="1:4" x14ac:dyDescent="0.3">
      <c r="A60">
        <v>4449.7</v>
      </c>
      <c r="B60">
        <v>5347.7</v>
      </c>
      <c r="C60">
        <v>1313.2</v>
      </c>
      <c r="D60">
        <v>6478.1</v>
      </c>
    </row>
    <row r="61" spans="1:4" x14ac:dyDescent="0.3">
      <c r="A61">
        <v>4570.3999999999996</v>
      </c>
      <c r="B61">
        <v>5480.1</v>
      </c>
      <c r="C61">
        <v>7424.8</v>
      </c>
      <c r="D61">
        <v>1516.8</v>
      </c>
    </row>
    <row r="62" spans="1:4" x14ac:dyDescent="0.3">
      <c r="A62">
        <v>4714.8999999999996</v>
      </c>
      <c r="B62">
        <v>5635.2</v>
      </c>
      <c r="C62">
        <v>7761.4</v>
      </c>
      <c r="D62">
        <v>9218.5</v>
      </c>
    </row>
    <row r="63" spans="1:4" x14ac:dyDescent="0.3">
      <c r="A63">
        <v>4907.7</v>
      </c>
      <c r="B63">
        <v>5563.7</v>
      </c>
      <c r="C63">
        <v>8078.6</v>
      </c>
      <c r="D63">
        <v>9042.5</v>
      </c>
    </row>
    <row r="64" spans="1:4" x14ac:dyDescent="0.3">
      <c r="A64">
        <v>5100.5</v>
      </c>
      <c r="B64">
        <v>5957.6</v>
      </c>
      <c r="C64">
        <v>8364.2000000000007</v>
      </c>
      <c r="D64">
        <v>8646.7999999999993</v>
      </c>
    </row>
    <row r="65" spans="1:4" x14ac:dyDescent="0.3">
      <c r="A65">
        <v>5016.8999999999996</v>
      </c>
      <c r="B65">
        <v>6030.6</v>
      </c>
      <c r="C65">
        <v>8628.7999999999993</v>
      </c>
      <c r="D65">
        <v>8077.6</v>
      </c>
    </row>
    <row r="66" spans="1:4" x14ac:dyDescent="0.3">
      <c r="A66">
        <v>5161</v>
      </c>
      <c r="B66">
        <v>5982.4</v>
      </c>
      <c r="C66">
        <v>8814.9</v>
      </c>
      <c r="D66">
        <v>7364.6</v>
      </c>
    </row>
    <row r="67" spans="1:4" x14ac:dyDescent="0.3">
      <c r="A67">
        <v>5307.2</v>
      </c>
      <c r="B67">
        <v>6000.4</v>
      </c>
      <c r="C67">
        <v>9038.9</v>
      </c>
      <c r="D67">
        <v>1250.5</v>
      </c>
    </row>
    <row r="68" spans="1:4" x14ac:dyDescent="0.3">
      <c r="A68">
        <v>5457.4</v>
      </c>
      <c r="B68">
        <v>5994.8</v>
      </c>
      <c r="C68">
        <v>9400.7999999999993</v>
      </c>
      <c r="D68">
        <v>10672.7</v>
      </c>
    </row>
    <row r="69" spans="1:4" x14ac:dyDescent="0.3">
      <c r="A69">
        <v>5620.1</v>
      </c>
      <c r="B69">
        <v>6095.9</v>
      </c>
      <c r="C69">
        <v>9746.7000000000007</v>
      </c>
      <c r="D69">
        <v>10243.5</v>
      </c>
    </row>
    <row r="70" spans="1:4" x14ac:dyDescent="0.3">
      <c r="A70">
        <v>5808.1</v>
      </c>
      <c r="B70">
        <v>5909.3</v>
      </c>
      <c r="C70">
        <v>10088.200000000001</v>
      </c>
      <c r="D70">
        <v>8997.9</v>
      </c>
    </row>
    <row r="71" spans="1:4" x14ac:dyDescent="0.3">
      <c r="A71">
        <v>6011.9</v>
      </c>
      <c r="B71">
        <v>6021.8</v>
      </c>
      <c r="C71">
        <v>10309.299999999999</v>
      </c>
      <c r="D71">
        <v>8255.1</v>
      </c>
    </row>
    <row r="72" spans="1:4" x14ac:dyDescent="0.3">
      <c r="A72">
        <v>6170.5</v>
      </c>
      <c r="B72">
        <v>6461.4</v>
      </c>
      <c r="C72">
        <v>10518.7</v>
      </c>
      <c r="D72">
        <v>7400.3</v>
      </c>
    </row>
    <row r="73" spans="1:4" x14ac:dyDescent="0.3">
      <c r="A73">
        <v>5951.2</v>
      </c>
      <c r="B73">
        <v>6707.9</v>
      </c>
      <c r="C73">
        <v>10872.4</v>
      </c>
      <c r="D73">
        <v>1395.8</v>
      </c>
    </row>
    <row r="74" spans="1:4" x14ac:dyDescent="0.3">
      <c r="A74">
        <v>6062.8</v>
      </c>
      <c r="B74">
        <v>5109.6000000000004</v>
      </c>
      <c r="C74">
        <v>11350.8</v>
      </c>
      <c r="D74">
        <v>10972.2</v>
      </c>
    </row>
    <row r="75" spans="1:4" x14ac:dyDescent="0.3">
      <c r="A75">
        <v>6204.4</v>
      </c>
      <c r="B75">
        <v>4755</v>
      </c>
      <c r="C75">
        <v>11752.7</v>
      </c>
      <c r="D75">
        <v>9717.6</v>
      </c>
    </row>
    <row r="76" spans="1:4" x14ac:dyDescent="0.3">
      <c r="A76">
        <v>6364.1</v>
      </c>
      <c r="B76">
        <v>4458.3</v>
      </c>
      <c r="C76">
        <v>11797.8</v>
      </c>
      <c r="D76">
        <v>2880.5</v>
      </c>
    </row>
    <row r="77" spans="1:4" x14ac:dyDescent="0.3">
      <c r="A77">
        <v>6505.1</v>
      </c>
      <c r="B77">
        <v>4549.3999999999996</v>
      </c>
      <c r="C77">
        <v>11821.9</v>
      </c>
      <c r="D77">
        <v>3614.4</v>
      </c>
    </row>
    <row r="79" spans="1:4" x14ac:dyDescent="0.3">
      <c r="A79" t="s">
        <v>388</v>
      </c>
    </row>
    <row r="80" spans="1:4" x14ac:dyDescent="0.3">
      <c r="A80" t="s">
        <v>384</v>
      </c>
      <c r="B80" t="s">
        <v>385</v>
      </c>
      <c r="C80" t="s">
        <v>386</v>
      </c>
      <c r="D80" t="s">
        <v>389</v>
      </c>
    </row>
    <row r="81" spans="1:4" x14ac:dyDescent="0.3">
      <c r="A81">
        <v>1367.5</v>
      </c>
      <c r="B81">
        <v>1480.6</v>
      </c>
      <c r="C81">
        <v>1595.6</v>
      </c>
      <c r="D81">
        <v>1900.2</v>
      </c>
    </row>
    <row r="82" spans="1:4" x14ac:dyDescent="0.3">
      <c r="A82">
        <v>1663.5</v>
      </c>
      <c r="B82">
        <v>1780.4</v>
      </c>
      <c r="C82">
        <v>1902.9</v>
      </c>
      <c r="D82">
        <v>2211</v>
      </c>
    </row>
    <row r="83" spans="1:4" x14ac:dyDescent="0.3">
      <c r="A83">
        <v>1826.1</v>
      </c>
      <c r="B83">
        <v>1947.4</v>
      </c>
      <c r="C83">
        <v>2067.6</v>
      </c>
      <c r="D83">
        <v>2403.6</v>
      </c>
    </row>
    <row r="84" spans="1:4" x14ac:dyDescent="0.3">
      <c r="A84">
        <v>1965.3</v>
      </c>
      <c r="B84">
        <v>2111.6999999999998</v>
      </c>
      <c r="C84">
        <v>2226</v>
      </c>
      <c r="D84">
        <v>4147</v>
      </c>
    </row>
    <row r="85" spans="1:4" x14ac:dyDescent="0.3">
      <c r="A85">
        <v>2101.1</v>
      </c>
      <c r="B85">
        <v>2240.9</v>
      </c>
      <c r="C85">
        <v>2370.4</v>
      </c>
      <c r="D85">
        <v>7144.9</v>
      </c>
    </row>
    <row r="86" spans="1:4" x14ac:dyDescent="0.3">
      <c r="A86">
        <v>2305.6999999999998</v>
      </c>
      <c r="B86">
        <v>2421.6999999999998</v>
      </c>
      <c r="C86">
        <v>3545.2</v>
      </c>
      <c r="D86">
        <v>10756.3</v>
      </c>
    </row>
    <row r="87" spans="1:4" x14ac:dyDescent="0.3">
      <c r="A87">
        <v>2449.1999999999998</v>
      </c>
      <c r="B87">
        <v>2617.6</v>
      </c>
      <c r="C87">
        <v>5647.3</v>
      </c>
      <c r="D87">
        <v>14842.1</v>
      </c>
    </row>
    <row r="88" spans="1:4" x14ac:dyDescent="0.3">
      <c r="A88">
        <v>2610.5</v>
      </c>
      <c r="B88">
        <v>4224.7</v>
      </c>
      <c r="C88">
        <v>8009.2</v>
      </c>
      <c r="D88">
        <v>19392.900000000001</v>
      </c>
    </row>
    <row r="89" spans="1:4" x14ac:dyDescent="0.3">
      <c r="A89">
        <v>2726.6</v>
      </c>
      <c r="B89">
        <v>6028.7</v>
      </c>
      <c r="C89">
        <v>10619</v>
      </c>
      <c r="D89">
        <v>24460.799999999999</v>
      </c>
    </row>
    <row r="90" spans="1:4" x14ac:dyDescent="0.3">
      <c r="A90">
        <v>2860.4</v>
      </c>
      <c r="B90">
        <v>7987.6</v>
      </c>
      <c r="C90">
        <v>13466.5</v>
      </c>
      <c r="D90">
        <v>29988.400000000001</v>
      </c>
    </row>
    <row r="91" spans="1:4" x14ac:dyDescent="0.3">
      <c r="A91">
        <v>3439.7</v>
      </c>
      <c r="B91">
        <v>10130.799999999999</v>
      </c>
      <c r="C91">
        <v>16516.3</v>
      </c>
      <c r="D91">
        <v>35934.300000000003</v>
      </c>
    </row>
    <row r="92" spans="1:4" x14ac:dyDescent="0.3">
      <c r="A92">
        <v>4595.7</v>
      </c>
      <c r="B92">
        <v>12466.8</v>
      </c>
      <c r="C92">
        <v>19927.2</v>
      </c>
      <c r="D92">
        <v>36345.800000000003</v>
      </c>
    </row>
    <row r="93" spans="1:4" x14ac:dyDescent="0.3">
      <c r="A93">
        <v>5920.4</v>
      </c>
      <c r="B93">
        <v>14936.3</v>
      </c>
      <c r="C93">
        <v>23584.3</v>
      </c>
      <c r="D93">
        <v>13004.9</v>
      </c>
    </row>
    <row r="94" spans="1:4" x14ac:dyDescent="0.3">
      <c r="A94">
        <v>7174.7</v>
      </c>
      <c r="B94">
        <v>17628.3</v>
      </c>
      <c r="C94">
        <v>27584.2</v>
      </c>
      <c r="D94">
        <v>20442.599999999999</v>
      </c>
    </row>
    <row r="95" spans="1:4" x14ac:dyDescent="0.3">
      <c r="A95">
        <v>8681.5</v>
      </c>
      <c r="B95">
        <v>20413.400000000001</v>
      </c>
      <c r="C95">
        <v>31690.6</v>
      </c>
      <c r="D95">
        <v>28365.3</v>
      </c>
    </row>
    <row r="96" spans="1:4" x14ac:dyDescent="0.3">
      <c r="A96">
        <v>10116.9</v>
      </c>
      <c r="B96">
        <v>23420.799999999999</v>
      </c>
      <c r="C96">
        <v>36133</v>
      </c>
      <c r="D96">
        <v>36685.599999999999</v>
      </c>
    </row>
    <row r="97" spans="1:4" x14ac:dyDescent="0.3">
      <c r="A97">
        <v>11759.1</v>
      </c>
      <c r="B97">
        <v>26582.9</v>
      </c>
      <c r="C97">
        <v>36917.599999999999</v>
      </c>
      <c r="D97">
        <v>37753.800000000003</v>
      </c>
    </row>
    <row r="98" spans="1:4" x14ac:dyDescent="0.3">
      <c r="A98">
        <v>13409.9</v>
      </c>
      <c r="B98">
        <v>29838.6</v>
      </c>
      <c r="C98">
        <v>9718.2000000000007</v>
      </c>
      <c r="D98">
        <v>19637.2</v>
      </c>
    </row>
    <row r="99" spans="1:4" x14ac:dyDescent="0.3">
      <c r="A99">
        <v>15109.2</v>
      </c>
      <c r="B99">
        <v>33345.5</v>
      </c>
      <c r="C99">
        <v>14575.9</v>
      </c>
      <c r="D99">
        <v>29414.2</v>
      </c>
    </row>
    <row r="100" spans="1:4" x14ac:dyDescent="0.3">
      <c r="A100">
        <v>16974.400000000001</v>
      </c>
      <c r="B100">
        <v>36992.300000000003</v>
      </c>
      <c r="C100">
        <v>19879.599999999999</v>
      </c>
      <c r="D100">
        <v>35150.800000000003</v>
      </c>
    </row>
    <row r="101" spans="1:4" x14ac:dyDescent="0.3">
      <c r="A101">
        <v>18876.900000000001</v>
      </c>
      <c r="B101">
        <v>37581.300000000003</v>
      </c>
      <c r="C101">
        <v>25321.5</v>
      </c>
      <c r="D101">
        <v>23727.5</v>
      </c>
    </row>
    <row r="102" spans="1:4" x14ac:dyDescent="0.3">
      <c r="A102">
        <v>20830.900000000001</v>
      </c>
      <c r="B102">
        <v>8451.4</v>
      </c>
      <c r="C102">
        <v>29531.599999999999</v>
      </c>
      <c r="D102">
        <v>35049.599999999999</v>
      </c>
    </row>
    <row r="103" spans="1:4" x14ac:dyDescent="0.3">
      <c r="A103">
        <v>22967.5</v>
      </c>
      <c r="B103">
        <v>12501.4</v>
      </c>
      <c r="C103">
        <v>35348.1</v>
      </c>
      <c r="D103">
        <v>38907.1</v>
      </c>
    </row>
    <row r="104" spans="1:4" x14ac:dyDescent="0.3">
      <c r="A104">
        <v>25094</v>
      </c>
      <c r="B104">
        <v>16911</v>
      </c>
      <c r="C104">
        <v>36680.300000000003</v>
      </c>
      <c r="D104">
        <v>28038.6</v>
      </c>
    </row>
    <row r="105" spans="1:4" x14ac:dyDescent="0.3">
      <c r="A105">
        <v>27309.5</v>
      </c>
      <c r="B105">
        <v>21296.3</v>
      </c>
      <c r="C105">
        <v>13360.3</v>
      </c>
      <c r="D105">
        <v>40731.1</v>
      </c>
    </row>
    <row r="106" spans="1:4" x14ac:dyDescent="0.3">
      <c r="A106">
        <v>29716.2</v>
      </c>
      <c r="B106">
        <v>25947.7</v>
      </c>
      <c r="C106">
        <v>20074.8</v>
      </c>
      <c r="D106">
        <v>41721.800000000003</v>
      </c>
    </row>
    <row r="107" spans="1:4" x14ac:dyDescent="0.3">
      <c r="A107">
        <v>32072.1</v>
      </c>
      <c r="B107">
        <v>30816.9</v>
      </c>
      <c r="C107">
        <v>27062.7</v>
      </c>
      <c r="D107">
        <v>32431.1</v>
      </c>
    </row>
    <row r="108" spans="1:4" x14ac:dyDescent="0.3">
      <c r="A108">
        <v>34543</v>
      </c>
      <c r="B108">
        <v>35727.199999999997</v>
      </c>
      <c r="C108">
        <v>34408</v>
      </c>
      <c r="D108">
        <v>40032.699999999997</v>
      </c>
    </row>
    <row r="109" spans="1:4" x14ac:dyDescent="0.3">
      <c r="A109">
        <v>37171.300000000003</v>
      </c>
      <c r="B109">
        <v>41015.300000000003</v>
      </c>
      <c r="C109">
        <v>38684.9</v>
      </c>
      <c r="D109">
        <v>35241</v>
      </c>
    </row>
    <row r="110" spans="1:4" x14ac:dyDescent="0.3">
      <c r="A110">
        <v>37816.699999999997</v>
      </c>
      <c r="B110">
        <v>41437.599999999999</v>
      </c>
      <c r="C110">
        <v>17807.3</v>
      </c>
      <c r="D110">
        <v>43317</v>
      </c>
    </row>
    <row r="111" spans="1:4" x14ac:dyDescent="0.3">
      <c r="A111">
        <v>7160.5</v>
      </c>
      <c r="B111">
        <v>14888.9</v>
      </c>
      <c r="C111">
        <v>25644.6</v>
      </c>
      <c r="D111">
        <v>38030</v>
      </c>
    </row>
    <row r="112" spans="1:4" x14ac:dyDescent="0.3">
      <c r="A112">
        <v>8802.7999999999993</v>
      </c>
      <c r="B112">
        <v>20168.099999999999</v>
      </c>
      <c r="C112">
        <v>32834.400000000001</v>
      </c>
      <c r="D112">
        <v>41985.7</v>
      </c>
    </row>
    <row r="113" spans="1:4" x14ac:dyDescent="0.3">
      <c r="A113">
        <v>11636.4</v>
      </c>
      <c r="B113">
        <v>26016.9</v>
      </c>
      <c r="C113">
        <v>36960.699999999997</v>
      </c>
      <c r="D113">
        <v>40981.699999999997</v>
      </c>
    </row>
    <row r="114" spans="1:4" x14ac:dyDescent="0.3">
      <c r="A114">
        <v>14636.5</v>
      </c>
      <c r="B114">
        <v>32076.6</v>
      </c>
      <c r="C114">
        <v>19631.099999999999</v>
      </c>
      <c r="D114">
        <v>44237.599999999999</v>
      </c>
    </row>
    <row r="115" spans="1:4" x14ac:dyDescent="0.3">
      <c r="A115">
        <v>17753.5</v>
      </c>
      <c r="B115">
        <v>38169.1</v>
      </c>
      <c r="C115">
        <v>27656.6</v>
      </c>
      <c r="D115">
        <v>44041.2</v>
      </c>
    </row>
    <row r="116" spans="1:4" x14ac:dyDescent="0.3">
      <c r="A116">
        <v>21006.2</v>
      </c>
      <c r="B116">
        <v>42183.1</v>
      </c>
      <c r="C116">
        <v>36726.699999999997</v>
      </c>
      <c r="D116">
        <v>46369.2</v>
      </c>
    </row>
    <row r="117" spans="1:4" x14ac:dyDescent="0.3">
      <c r="A117">
        <v>23947</v>
      </c>
      <c r="B117">
        <v>19018.599999999999</v>
      </c>
      <c r="C117">
        <v>38252</v>
      </c>
      <c r="D117">
        <v>47170.5</v>
      </c>
    </row>
    <row r="118" spans="1:4" x14ac:dyDescent="0.3">
      <c r="A118">
        <v>27163.1</v>
      </c>
      <c r="B118">
        <v>25488.799999999999</v>
      </c>
      <c r="C118">
        <v>22147</v>
      </c>
      <c r="D118">
        <v>48170.1</v>
      </c>
    </row>
    <row r="119" spans="1:4" x14ac:dyDescent="0.3">
      <c r="A119">
        <v>30580.799999999999</v>
      </c>
      <c r="B119">
        <v>30298.2</v>
      </c>
      <c r="C119">
        <v>28546.5</v>
      </c>
      <c r="D119">
        <v>41138.699999999997</v>
      </c>
    </row>
    <row r="120" spans="1:4" x14ac:dyDescent="0.3">
      <c r="A120">
        <v>34125.9</v>
      </c>
      <c r="B120">
        <v>37164.1</v>
      </c>
      <c r="C120">
        <v>37122.6</v>
      </c>
      <c r="D120">
        <v>42281.4</v>
      </c>
    </row>
    <row r="121" spans="1:4" x14ac:dyDescent="0.3">
      <c r="A121">
        <v>36821.1</v>
      </c>
      <c r="B121">
        <v>41116.699999999997</v>
      </c>
      <c r="C121">
        <v>24619.9</v>
      </c>
      <c r="D121">
        <v>43424.800000000003</v>
      </c>
    </row>
    <row r="122" spans="1:4" x14ac:dyDescent="0.3">
      <c r="A122">
        <v>38493.4</v>
      </c>
      <c r="B122">
        <v>20516.7</v>
      </c>
      <c r="C122">
        <v>35435.4</v>
      </c>
      <c r="D122">
        <v>44580.2</v>
      </c>
    </row>
    <row r="123" spans="1:4" x14ac:dyDescent="0.3">
      <c r="A123">
        <v>11871.5</v>
      </c>
      <c r="B123">
        <v>27784.3</v>
      </c>
      <c r="C123">
        <v>41357.5</v>
      </c>
      <c r="D123">
        <v>45695.6</v>
      </c>
    </row>
    <row r="124" spans="1:4" x14ac:dyDescent="0.3">
      <c r="A124">
        <v>14100.7</v>
      </c>
      <c r="B124">
        <v>35362.800000000003</v>
      </c>
      <c r="C124">
        <v>27861</v>
      </c>
      <c r="D124">
        <v>46933.7</v>
      </c>
    </row>
    <row r="125" spans="1:4" x14ac:dyDescent="0.3">
      <c r="A125">
        <v>18137.400000000001</v>
      </c>
      <c r="B125">
        <v>43031.8</v>
      </c>
      <c r="C125">
        <v>39387.4</v>
      </c>
      <c r="D125">
        <v>48284.2</v>
      </c>
    </row>
    <row r="126" spans="1:4" x14ac:dyDescent="0.3">
      <c r="A126">
        <v>22153.3</v>
      </c>
      <c r="B126">
        <v>44645.9</v>
      </c>
      <c r="C126">
        <v>42471</v>
      </c>
      <c r="D126">
        <v>49687.4</v>
      </c>
    </row>
    <row r="127" spans="1:4" x14ac:dyDescent="0.3">
      <c r="A127">
        <v>24145.3</v>
      </c>
      <c r="B127">
        <v>24121</v>
      </c>
      <c r="C127">
        <v>30320</v>
      </c>
      <c r="D127">
        <v>50829.2</v>
      </c>
    </row>
    <row r="128" spans="1:4" x14ac:dyDescent="0.3">
      <c r="A128">
        <v>28059.5</v>
      </c>
      <c r="B128">
        <v>29753.5</v>
      </c>
      <c r="C128">
        <v>42050.3</v>
      </c>
      <c r="D128">
        <v>51209.3</v>
      </c>
    </row>
    <row r="129" spans="1:4" x14ac:dyDescent="0.3">
      <c r="A129">
        <v>31709.4</v>
      </c>
      <c r="B129">
        <v>37529.1</v>
      </c>
      <c r="C129">
        <v>43614.1</v>
      </c>
      <c r="D129">
        <v>50609.8</v>
      </c>
    </row>
    <row r="130" spans="1:4" x14ac:dyDescent="0.3">
      <c r="A130">
        <v>35929.4</v>
      </c>
      <c r="B130">
        <v>31207</v>
      </c>
      <c r="C130">
        <v>32751.3</v>
      </c>
      <c r="D130">
        <v>50553.7</v>
      </c>
    </row>
    <row r="131" spans="1:4" x14ac:dyDescent="0.3">
      <c r="A131">
        <v>21439.200000000001</v>
      </c>
      <c r="B131">
        <v>22817.3</v>
      </c>
      <c r="C131">
        <v>45635.3</v>
      </c>
      <c r="D131">
        <v>50610.5</v>
      </c>
    </row>
    <row r="132" spans="1:4" x14ac:dyDescent="0.3">
      <c r="A132">
        <v>11925.3</v>
      </c>
      <c r="B132">
        <v>24782</v>
      </c>
      <c r="C132">
        <v>46415.3</v>
      </c>
      <c r="D132">
        <v>43843.1</v>
      </c>
    </row>
    <row r="133" spans="1:4" x14ac:dyDescent="0.3">
      <c r="A133">
        <v>15848.5</v>
      </c>
      <c r="B133">
        <v>30743.4</v>
      </c>
      <c r="C133">
        <v>35994.400000000001</v>
      </c>
      <c r="D133">
        <v>45101.9</v>
      </c>
    </row>
    <row r="134" spans="1:4" x14ac:dyDescent="0.3">
      <c r="A134">
        <v>20320</v>
      </c>
      <c r="B134">
        <v>26358.9</v>
      </c>
      <c r="C134">
        <v>43257.7</v>
      </c>
      <c r="D134">
        <v>46391.1</v>
      </c>
    </row>
    <row r="135" spans="1:4" x14ac:dyDescent="0.3">
      <c r="A135">
        <v>24838</v>
      </c>
      <c r="B135">
        <v>31046.3</v>
      </c>
      <c r="C135">
        <v>38145.699999999997</v>
      </c>
      <c r="D135">
        <v>47488.4</v>
      </c>
    </row>
    <row r="136" spans="1:4" x14ac:dyDescent="0.3">
      <c r="A136">
        <v>29484.400000000001</v>
      </c>
      <c r="B136">
        <v>34818.699999999997</v>
      </c>
      <c r="C136">
        <v>45696.1</v>
      </c>
      <c r="D136">
        <v>48226.8</v>
      </c>
    </row>
    <row r="137" spans="1:4" x14ac:dyDescent="0.3">
      <c r="A137">
        <v>34525.599999999999</v>
      </c>
      <c r="B137">
        <v>44115.1</v>
      </c>
      <c r="C137">
        <v>40547</v>
      </c>
      <c r="D137">
        <v>48970.7</v>
      </c>
    </row>
    <row r="138" spans="1:4" x14ac:dyDescent="0.3">
      <c r="A138">
        <v>39501.9</v>
      </c>
      <c r="B138">
        <v>26340.799999999999</v>
      </c>
      <c r="C138">
        <v>48082.2</v>
      </c>
      <c r="D138">
        <v>50170.7</v>
      </c>
    </row>
    <row r="139" spans="1:4" x14ac:dyDescent="0.3">
      <c r="A139">
        <v>40493.9</v>
      </c>
      <c r="B139">
        <v>21563.8</v>
      </c>
      <c r="C139">
        <v>42536</v>
      </c>
      <c r="D139">
        <v>51622.2</v>
      </c>
    </row>
    <row r="140" spans="1:4" x14ac:dyDescent="0.3">
      <c r="A140">
        <v>14885.6</v>
      </c>
      <c r="B140">
        <v>31863.7</v>
      </c>
      <c r="C140">
        <v>50394.400000000001</v>
      </c>
      <c r="D140">
        <v>51349.599999999999</v>
      </c>
    </row>
    <row r="141" spans="1:4" x14ac:dyDescent="0.3">
      <c r="A141">
        <v>19857.7</v>
      </c>
      <c r="B141">
        <v>37503.9</v>
      </c>
      <c r="C141">
        <v>44607.9</v>
      </c>
      <c r="D141">
        <v>51351.199999999997</v>
      </c>
    </row>
    <row r="142" spans="1:4" x14ac:dyDescent="0.3">
      <c r="A142">
        <v>25086.9</v>
      </c>
      <c r="B142">
        <v>31767.200000000001</v>
      </c>
      <c r="C142">
        <v>52534.2</v>
      </c>
      <c r="D142">
        <v>51489.599999999999</v>
      </c>
    </row>
    <row r="143" spans="1:4" x14ac:dyDescent="0.3">
      <c r="A143">
        <v>30360.3</v>
      </c>
      <c r="B143">
        <v>42319.1</v>
      </c>
      <c r="C143">
        <v>46621</v>
      </c>
      <c r="D143">
        <v>51861.2</v>
      </c>
    </row>
    <row r="144" spans="1:4" x14ac:dyDescent="0.3">
      <c r="A144">
        <v>35965</v>
      </c>
      <c r="B144">
        <v>48010.8</v>
      </c>
      <c r="C144">
        <v>50669.1</v>
      </c>
      <c r="D144">
        <v>52343.199999999997</v>
      </c>
    </row>
    <row r="145" spans="1:4" x14ac:dyDescent="0.3">
      <c r="A145">
        <v>41652</v>
      </c>
      <c r="B145">
        <v>34031.199999999997</v>
      </c>
      <c r="C145">
        <v>49029.1</v>
      </c>
      <c r="D145">
        <v>53570.9</v>
      </c>
    </row>
    <row r="146" spans="1:4" x14ac:dyDescent="0.3">
      <c r="A146">
        <v>42560.5</v>
      </c>
      <c r="B146">
        <v>45315</v>
      </c>
      <c r="C146">
        <v>52163.7</v>
      </c>
      <c r="D146">
        <v>53185.8</v>
      </c>
    </row>
    <row r="147" spans="1:4" x14ac:dyDescent="0.3">
      <c r="A147">
        <v>18108.400000000001</v>
      </c>
      <c r="B147">
        <v>48084.9</v>
      </c>
      <c r="C147">
        <v>50997</v>
      </c>
      <c r="D147">
        <v>34400</v>
      </c>
    </row>
    <row r="148" spans="1:4" x14ac:dyDescent="0.3">
      <c r="A148">
        <v>23730.3</v>
      </c>
      <c r="B148">
        <v>23911.200000000001</v>
      </c>
      <c r="C148">
        <v>52041.2</v>
      </c>
      <c r="D148">
        <v>35886.9</v>
      </c>
    </row>
    <row r="149" spans="1:4" x14ac:dyDescent="0.3">
      <c r="A149">
        <v>29473.7</v>
      </c>
      <c r="B149">
        <v>47377.7</v>
      </c>
      <c r="C149">
        <v>50894</v>
      </c>
      <c r="D149">
        <v>37366.9</v>
      </c>
    </row>
    <row r="150" spans="1:4" x14ac:dyDescent="0.3">
      <c r="A150">
        <v>35354.199999999997</v>
      </c>
      <c r="B150">
        <v>50015.8</v>
      </c>
      <c r="C150">
        <v>31007.7</v>
      </c>
      <c r="D150">
        <v>54099.5</v>
      </c>
    </row>
    <row r="151" spans="1:4" x14ac:dyDescent="0.3">
      <c r="A151">
        <v>41571.199999999997</v>
      </c>
      <c r="B151">
        <v>38471.1</v>
      </c>
      <c r="C151">
        <v>33164.699999999997</v>
      </c>
      <c r="D151">
        <v>54038.400000000001</v>
      </c>
    </row>
    <row r="152" spans="1:4" x14ac:dyDescent="0.3">
      <c r="A152">
        <v>44981.1</v>
      </c>
      <c r="B152">
        <v>50086.1</v>
      </c>
      <c r="C152">
        <v>16362.8</v>
      </c>
      <c r="D152">
        <v>54386.3</v>
      </c>
    </row>
    <row r="153" spans="1:4" x14ac:dyDescent="0.3">
      <c r="A153">
        <v>21192.1</v>
      </c>
      <c r="B153">
        <v>49106.3</v>
      </c>
      <c r="C153">
        <v>39087.9</v>
      </c>
      <c r="D153">
        <v>54933.4</v>
      </c>
    </row>
    <row r="154" spans="1:4" x14ac:dyDescent="0.3">
      <c r="A154">
        <v>27398.5</v>
      </c>
      <c r="B154">
        <v>34160.6</v>
      </c>
      <c r="C154">
        <v>30845.4</v>
      </c>
      <c r="D154">
        <v>54255.1</v>
      </c>
    </row>
    <row r="155" spans="1:4" x14ac:dyDescent="0.3">
      <c r="A155">
        <v>33723.4</v>
      </c>
      <c r="B155">
        <v>46715.7</v>
      </c>
      <c r="C155">
        <v>36333.4</v>
      </c>
      <c r="D155">
        <v>41874.800000000003</v>
      </c>
    </row>
    <row r="158" spans="1:4" x14ac:dyDescent="0.3">
      <c r="A158" t="s">
        <v>390</v>
      </c>
    </row>
    <row r="159" spans="1:4" x14ac:dyDescent="0.3">
      <c r="A159" t="s">
        <v>384</v>
      </c>
      <c r="B159" t="s">
        <v>385</v>
      </c>
      <c r="C159" t="s">
        <v>386</v>
      </c>
      <c r="D159" t="s">
        <v>389</v>
      </c>
    </row>
    <row r="160" spans="1:4" x14ac:dyDescent="0.3">
      <c r="A160">
        <v>1141.2</v>
      </c>
      <c r="B160">
        <v>1280.9000000000001</v>
      </c>
      <c r="C160">
        <v>1382.2</v>
      </c>
      <c r="D160">
        <v>1708.2</v>
      </c>
    </row>
    <row r="161" spans="1:4" x14ac:dyDescent="0.3">
      <c r="A161">
        <v>4258.3</v>
      </c>
      <c r="B161">
        <v>3449</v>
      </c>
      <c r="C161">
        <v>4193.7</v>
      </c>
      <c r="D161">
        <v>4572.2</v>
      </c>
    </row>
    <row r="162" spans="1:4" x14ac:dyDescent="0.3">
      <c r="A162">
        <v>1383.2</v>
      </c>
      <c r="B162">
        <v>700.6</v>
      </c>
      <c r="C162">
        <v>971.9</v>
      </c>
      <c r="D162">
        <v>1813.3</v>
      </c>
    </row>
    <row r="163" spans="1:4" x14ac:dyDescent="0.3">
      <c r="A163">
        <v>3148.7</v>
      </c>
      <c r="B163">
        <v>4080.8</v>
      </c>
      <c r="C163">
        <v>4210.2</v>
      </c>
      <c r="D163">
        <v>5178.3</v>
      </c>
    </row>
    <row r="164" spans="1:4" x14ac:dyDescent="0.3">
      <c r="A164">
        <v>800.2</v>
      </c>
      <c r="B164">
        <v>1011.4</v>
      </c>
      <c r="C164">
        <v>1261.9000000000001</v>
      </c>
      <c r="D164">
        <v>2329</v>
      </c>
    </row>
    <row r="165" spans="1:4" x14ac:dyDescent="0.3">
      <c r="A165">
        <v>3659</v>
      </c>
      <c r="B165">
        <v>4519.8999999999996</v>
      </c>
      <c r="C165">
        <v>4588.3999999999996</v>
      </c>
      <c r="D165">
        <v>5881.5</v>
      </c>
    </row>
    <row r="166" spans="1:4" x14ac:dyDescent="0.3">
      <c r="A166">
        <v>921.8</v>
      </c>
      <c r="B166">
        <v>1283.2</v>
      </c>
      <c r="C166">
        <v>1543.8</v>
      </c>
      <c r="D166">
        <v>2771.5</v>
      </c>
    </row>
    <row r="167" spans="1:4" x14ac:dyDescent="0.3">
      <c r="A167">
        <v>3879</v>
      </c>
      <c r="B167">
        <v>4616.2</v>
      </c>
      <c r="C167">
        <v>4909.8</v>
      </c>
      <c r="D167">
        <v>6151.5</v>
      </c>
    </row>
    <row r="168" spans="1:4" x14ac:dyDescent="0.3">
      <c r="A168">
        <v>1049.4000000000001</v>
      </c>
      <c r="B168">
        <v>1349.4</v>
      </c>
      <c r="C168">
        <v>1748.1</v>
      </c>
      <c r="D168">
        <v>3542.6</v>
      </c>
    </row>
    <row r="169" spans="1:4" x14ac:dyDescent="0.3">
      <c r="A169">
        <v>3956.1</v>
      </c>
      <c r="B169">
        <v>4777.3999999999996</v>
      </c>
      <c r="C169">
        <v>5042.2</v>
      </c>
      <c r="D169">
        <v>6527.8</v>
      </c>
    </row>
    <row r="170" spans="1:4" x14ac:dyDescent="0.3">
      <c r="A170">
        <v>1164.4000000000001</v>
      </c>
      <c r="B170">
        <v>1511.8</v>
      </c>
      <c r="C170">
        <v>2138.1</v>
      </c>
      <c r="D170">
        <v>3502.7</v>
      </c>
    </row>
    <row r="171" spans="1:4" x14ac:dyDescent="0.3">
      <c r="A171">
        <v>4326.8</v>
      </c>
      <c r="B171">
        <v>5126.8999999999996</v>
      </c>
      <c r="C171">
        <v>5305</v>
      </c>
      <c r="D171">
        <v>6683.3</v>
      </c>
    </row>
    <row r="172" spans="1:4" x14ac:dyDescent="0.3">
      <c r="A172">
        <v>1232.0999999999999</v>
      </c>
      <c r="B172">
        <v>1958.8</v>
      </c>
      <c r="C172">
        <v>533.9</v>
      </c>
      <c r="D172">
        <v>3840</v>
      </c>
    </row>
    <row r="173" spans="1:4" x14ac:dyDescent="0.3">
      <c r="A173">
        <v>4473.3</v>
      </c>
      <c r="B173">
        <v>5417</v>
      </c>
      <c r="C173">
        <v>3546.8</v>
      </c>
      <c r="D173">
        <v>6540</v>
      </c>
    </row>
    <row r="174" spans="1:4" x14ac:dyDescent="0.3">
      <c r="A174">
        <v>1428.2</v>
      </c>
      <c r="B174">
        <v>2266.6</v>
      </c>
      <c r="C174">
        <v>2710.6</v>
      </c>
      <c r="D174">
        <v>2065.1</v>
      </c>
    </row>
    <row r="175" spans="1:4" x14ac:dyDescent="0.3">
      <c r="A175">
        <v>4649.8</v>
      </c>
      <c r="B175">
        <v>5803</v>
      </c>
      <c r="C175">
        <v>4621.3</v>
      </c>
      <c r="D175">
        <v>7301.4</v>
      </c>
    </row>
    <row r="176" spans="1:4" x14ac:dyDescent="0.3">
      <c r="A176">
        <v>1553.9</v>
      </c>
      <c r="B176">
        <v>2709.8</v>
      </c>
      <c r="C176">
        <v>2965.9</v>
      </c>
      <c r="D176">
        <v>3098</v>
      </c>
    </row>
    <row r="177" spans="1:4" x14ac:dyDescent="0.3">
      <c r="A177">
        <v>4730.8999999999996</v>
      </c>
      <c r="B177">
        <v>5748.5</v>
      </c>
      <c r="C177">
        <v>6382.6</v>
      </c>
      <c r="D177">
        <v>6567.6</v>
      </c>
    </row>
    <row r="178" spans="1:4" x14ac:dyDescent="0.3">
      <c r="A178">
        <v>1590.9</v>
      </c>
      <c r="B178">
        <v>2752.6</v>
      </c>
      <c r="C178">
        <v>3574.5</v>
      </c>
      <c r="D178">
        <v>1709.3</v>
      </c>
    </row>
    <row r="179" spans="1:4" x14ac:dyDescent="0.3">
      <c r="A179">
        <v>4841.3999999999996</v>
      </c>
      <c r="B179">
        <v>6129.9</v>
      </c>
      <c r="C179">
        <v>6723.8</v>
      </c>
      <c r="D179">
        <v>4710.3999999999996</v>
      </c>
    </row>
    <row r="180" spans="1:4" x14ac:dyDescent="0.3">
      <c r="A180">
        <v>1428.9</v>
      </c>
      <c r="B180">
        <v>3099.1</v>
      </c>
      <c r="C180">
        <v>4046.6</v>
      </c>
      <c r="D180">
        <v>1450.4</v>
      </c>
    </row>
    <row r="181" spans="1:4" x14ac:dyDescent="0.3">
      <c r="A181">
        <v>5110.7</v>
      </c>
      <c r="B181">
        <v>6345.8</v>
      </c>
      <c r="C181">
        <v>6881.9</v>
      </c>
      <c r="D181">
        <v>8953.4</v>
      </c>
    </row>
    <row r="182" spans="1:4" x14ac:dyDescent="0.3">
      <c r="A182">
        <v>1980.9</v>
      </c>
      <c r="B182">
        <v>3392.6</v>
      </c>
      <c r="C182">
        <v>4407.3999999999996</v>
      </c>
      <c r="D182">
        <v>1473.1</v>
      </c>
    </row>
    <row r="183" spans="1:4" x14ac:dyDescent="0.3">
      <c r="A183">
        <v>5108.7</v>
      </c>
      <c r="B183">
        <v>6519.3</v>
      </c>
      <c r="C183">
        <v>6971.6</v>
      </c>
      <c r="D183">
        <v>8567.4</v>
      </c>
    </row>
    <row r="184" spans="1:4" x14ac:dyDescent="0.3">
      <c r="A184">
        <v>1969.7</v>
      </c>
      <c r="B184">
        <v>3652.5</v>
      </c>
      <c r="C184">
        <v>4408.3</v>
      </c>
      <c r="D184">
        <v>1495.2</v>
      </c>
    </row>
    <row r="185" spans="1:4" x14ac:dyDescent="0.3">
      <c r="A185">
        <v>3127.7</v>
      </c>
      <c r="B185">
        <v>6466.9</v>
      </c>
      <c r="C185">
        <v>6657.7</v>
      </c>
      <c r="D185">
        <v>5275.6</v>
      </c>
    </row>
    <row r="186" spans="1:4" x14ac:dyDescent="0.3">
      <c r="A186">
        <v>692.1</v>
      </c>
      <c r="B186">
        <v>3290.5</v>
      </c>
      <c r="C186">
        <v>4301.6000000000004</v>
      </c>
      <c r="D186">
        <v>8879.7999999999993</v>
      </c>
    </row>
    <row r="187" spans="1:4" x14ac:dyDescent="0.3">
      <c r="A187">
        <v>3690.8</v>
      </c>
      <c r="B187">
        <v>6056.1</v>
      </c>
      <c r="C187">
        <v>7209.8</v>
      </c>
      <c r="D187">
        <v>8131.7</v>
      </c>
    </row>
    <row r="188" spans="1:4" x14ac:dyDescent="0.3">
      <c r="A188">
        <v>846</v>
      </c>
      <c r="B188">
        <v>3424.3</v>
      </c>
      <c r="C188">
        <v>5463</v>
      </c>
      <c r="D188">
        <v>3480</v>
      </c>
    </row>
    <row r="189" spans="1:4" x14ac:dyDescent="0.3">
      <c r="A189">
        <v>3953.8</v>
      </c>
      <c r="B189">
        <v>5938.4</v>
      </c>
      <c r="C189">
        <v>6525.1</v>
      </c>
      <c r="D189">
        <v>8636.5</v>
      </c>
    </row>
    <row r="190" spans="1:4" x14ac:dyDescent="0.3">
      <c r="A190">
        <v>2372.1999999999998</v>
      </c>
      <c r="B190">
        <v>2249.8000000000002</v>
      </c>
      <c r="C190">
        <v>4345.3999999999996</v>
      </c>
      <c r="D190">
        <v>10498.6</v>
      </c>
    </row>
    <row r="191" spans="1:4" x14ac:dyDescent="0.3">
      <c r="A191">
        <v>4552.8999999999996</v>
      </c>
      <c r="B191">
        <v>6051.4</v>
      </c>
      <c r="C191">
        <v>8667.6</v>
      </c>
      <c r="D191">
        <v>10534.2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50683-8EDD-4D73-9FE0-E44B12A33D5D}">
  <dimension ref="A1:D192"/>
  <sheetViews>
    <sheetView topLeftCell="A157" workbookViewId="0"/>
  </sheetViews>
  <sheetFormatPr defaultRowHeight="14.4" x14ac:dyDescent="0.3"/>
  <cols>
    <col min="1" max="1" width="14.21875" bestFit="1" customWidth="1"/>
    <col min="2" max="4" width="15.21875" bestFit="1" customWidth="1"/>
  </cols>
  <sheetData>
    <row r="1" spans="1:4" x14ac:dyDescent="0.3">
      <c r="A1" t="s">
        <v>383</v>
      </c>
    </row>
    <row r="2" spans="1:4" x14ac:dyDescent="0.3">
      <c r="A2" t="s">
        <v>391</v>
      </c>
      <c r="B2" t="s">
        <v>392</v>
      </c>
      <c r="C2" t="s">
        <v>393</v>
      </c>
      <c r="D2" t="s">
        <v>394</v>
      </c>
    </row>
    <row r="3" spans="1:4" x14ac:dyDescent="0.3">
      <c r="A3">
        <v>104.16</v>
      </c>
      <c r="B3">
        <v>149.66</v>
      </c>
      <c r="C3">
        <v>145.97999999999999</v>
      </c>
      <c r="D3">
        <v>193.17</v>
      </c>
    </row>
    <row r="4" spans="1:4" x14ac:dyDescent="0.3">
      <c r="A4">
        <v>111.09</v>
      </c>
      <c r="B4">
        <v>144.03</v>
      </c>
      <c r="C4">
        <v>156.16</v>
      </c>
      <c r="D4">
        <v>210.89</v>
      </c>
    </row>
    <row r="5" spans="1:4" x14ac:dyDescent="0.3">
      <c r="A5">
        <v>113.64</v>
      </c>
      <c r="B5">
        <v>139.61000000000001</v>
      </c>
      <c r="C5">
        <v>158.19999999999999</v>
      </c>
      <c r="D5">
        <v>222.95</v>
      </c>
    </row>
    <row r="6" spans="1:4" x14ac:dyDescent="0.3">
      <c r="A6">
        <v>120.08</v>
      </c>
      <c r="B6">
        <v>170.45</v>
      </c>
      <c r="C6">
        <v>164.39</v>
      </c>
      <c r="D6">
        <v>227.02</v>
      </c>
    </row>
    <row r="7" spans="1:4" x14ac:dyDescent="0.3">
      <c r="A7">
        <v>116.08</v>
      </c>
      <c r="B7">
        <v>151.91</v>
      </c>
      <c r="C7">
        <v>161.63999999999999</v>
      </c>
      <c r="D7">
        <v>244.64</v>
      </c>
    </row>
    <row r="8" spans="1:4" x14ac:dyDescent="0.3">
      <c r="A8">
        <v>115.45</v>
      </c>
      <c r="B8">
        <v>144.69999999999999</v>
      </c>
      <c r="C8">
        <v>159.84</v>
      </c>
      <c r="D8">
        <v>267.88</v>
      </c>
    </row>
    <row r="9" spans="1:4" x14ac:dyDescent="0.3">
      <c r="A9">
        <v>116.89</v>
      </c>
      <c r="B9">
        <v>139.25</v>
      </c>
      <c r="C9">
        <v>171.77</v>
      </c>
      <c r="D9">
        <v>246.89</v>
      </c>
    </row>
    <row r="10" spans="1:4" x14ac:dyDescent="0.3">
      <c r="A10">
        <v>121.73</v>
      </c>
      <c r="B10">
        <v>136.13999999999999</v>
      </c>
      <c r="C10">
        <v>178.52</v>
      </c>
      <c r="D10">
        <v>262.5</v>
      </c>
    </row>
    <row r="11" spans="1:4" x14ac:dyDescent="0.3">
      <c r="A11">
        <v>116.45</v>
      </c>
      <c r="B11">
        <v>144.78</v>
      </c>
      <c r="C11">
        <v>182.11</v>
      </c>
      <c r="D11">
        <v>270.88</v>
      </c>
    </row>
    <row r="12" spans="1:4" x14ac:dyDescent="0.3">
      <c r="A12">
        <v>116.73</v>
      </c>
      <c r="B12">
        <v>153.94999999999999</v>
      </c>
      <c r="C12">
        <v>179.47</v>
      </c>
      <c r="D12">
        <v>270.39</v>
      </c>
    </row>
    <row r="13" spans="1:4" x14ac:dyDescent="0.3">
      <c r="A13">
        <v>124.66</v>
      </c>
      <c r="B13">
        <v>153.52000000000001</v>
      </c>
      <c r="C13">
        <v>179.2</v>
      </c>
      <c r="D13">
        <v>271.52</v>
      </c>
    </row>
    <row r="14" spans="1:4" x14ac:dyDescent="0.3">
      <c r="A14">
        <v>118.02</v>
      </c>
      <c r="B14">
        <v>153.62</v>
      </c>
      <c r="C14">
        <v>208.08</v>
      </c>
      <c r="D14">
        <v>288.83999999999997</v>
      </c>
    </row>
    <row r="15" spans="1:4" x14ac:dyDescent="0.3">
      <c r="A15">
        <v>126.03</v>
      </c>
      <c r="B15">
        <v>166.23</v>
      </c>
      <c r="C15">
        <v>202.88</v>
      </c>
      <c r="D15">
        <v>318.97000000000003</v>
      </c>
    </row>
    <row r="16" spans="1:4" x14ac:dyDescent="0.3">
      <c r="A16">
        <v>121.05</v>
      </c>
      <c r="B16">
        <v>158.97</v>
      </c>
      <c r="C16">
        <v>197.59</v>
      </c>
      <c r="D16">
        <v>304.64</v>
      </c>
    </row>
    <row r="17" spans="1:4" x14ac:dyDescent="0.3">
      <c r="A17">
        <v>128.84</v>
      </c>
      <c r="B17">
        <v>161.66999999999999</v>
      </c>
      <c r="C17">
        <v>199.17</v>
      </c>
      <c r="D17">
        <v>336.17</v>
      </c>
    </row>
    <row r="18" spans="1:4" x14ac:dyDescent="0.3">
      <c r="A18">
        <v>124.22</v>
      </c>
      <c r="B18">
        <v>141.94999999999999</v>
      </c>
      <c r="C18">
        <v>213.73</v>
      </c>
      <c r="D18">
        <v>318.89</v>
      </c>
    </row>
    <row r="19" spans="1:4" x14ac:dyDescent="0.3">
      <c r="A19">
        <v>123.58</v>
      </c>
      <c r="B19">
        <v>158.34</v>
      </c>
      <c r="C19">
        <v>222.31</v>
      </c>
      <c r="D19">
        <v>350.39</v>
      </c>
    </row>
    <row r="20" spans="1:4" x14ac:dyDescent="0.3">
      <c r="A20">
        <v>133.86000000000001</v>
      </c>
      <c r="B20">
        <v>145.27000000000001</v>
      </c>
      <c r="C20">
        <v>220.61</v>
      </c>
      <c r="D20">
        <v>321.92</v>
      </c>
    </row>
    <row r="21" spans="1:4" x14ac:dyDescent="0.3">
      <c r="A21">
        <v>122.56</v>
      </c>
      <c r="B21">
        <v>144.75</v>
      </c>
      <c r="C21">
        <v>204.56</v>
      </c>
      <c r="D21">
        <v>369.52</v>
      </c>
    </row>
    <row r="22" spans="1:4" x14ac:dyDescent="0.3">
      <c r="A22">
        <v>139.72</v>
      </c>
      <c r="B22">
        <v>178</v>
      </c>
      <c r="C22">
        <v>244.52</v>
      </c>
      <c r="D22">
        <v>366.5</v>
      </c>
    </row>
    <row r="23" spans="1:4" x14ac:dyDescent="0.3">
      <c r="A23">
        <v>132.5</v>
      </c>
      <c r="B23">
        <v>154.88999999999999</v>
      </c>
      <c r="C23">
        <v>272.66000000000003</v>
      </c>
      <c r="D23">
        <v>324.48</v>
      </c>
    </row>
    <row r="24" spans="1:4" x14ac:dyDescent="0.3">
      <c r="A24">
        <v>123.2</v>
      </c>
      <c r="B24">
        <v>135.16999999999999</v>
      </c>
      <c r="C24">
        <v>210.08</v>
      </c>
      <c r="D24">
        <v>381.16</v>
      </c>
    </row>
    <row r="25" spans="1:4" x14ac:dyDescent="0.3">
      <c r="A25">
        <v>582.36</v>
      </c>
      <c r="B25">
        <v>183.36</v>
      </c>
      <c r="C25">
        <v>277.33999999999997</v>
      </c>
      <c r="D25">
        <v>367.61</v>
      </c>
    </row>
    <row r="26" spans="1:4" x14ac:dyDescent="0.3">
      <c r="A26">
        <v>540.22</v>
      </c>
      <c r="B26">
        <v>169.17</v>
      </c>
      <c r="C26">
        <v>261.27</v>
      </c>
      <c r="D26">
        <v>363.81</v>
      </c>
    </row>
    <row r="27" spans="1:4" x14ac:dyDescent="0.3">
      <c r="A27">
        <v>386.17</v>
      </c>
      <c r="B27">
        <v>145.11000000000001</v>
      </c>
      <c r="C27">
        <v>217.41</v>
      </c>
      <c r="D27">
        <v>345.09</v>
      </c>
    </row>
    <row r="28" spans="1:4" x14ac:dyDescent="0.3">
      <c r="A28">
        <v>124.39</v>
      </c>
      <c r="B28">
        <v>186.36</v>
      </c>
      <c r="C28">
        <v>247.11</v>
      </c>
      <c r="D28">
        <v>552.61</v>
      </c>
    </row>
    <row r="29" spans="1:4" x14ac:dyDescent="0.3">
      <c r="A29">
        <v>134.47</v>
      </c>
      <c r="B29">
        <v>210.86</v>
      </c>
      <c r="C29">
        <v>326.33</v>
      </c>
      <c r="D29">
        <v>376.45</v>
      </c>
    </row>
    <row r="30" spans="1:4" x14ac:dyDescent="0.3">
      <c r="A30">
        <v>127.58</v>
      </c>
      <c r="B30">
        <v>176.19</v>
      </c>
      <c r="C30">
        <v>267.52</v>
      </c>
      <c r="D30">
        <v>365.31</v>
      </c>
    </row>
    <row r="31" spans="1:4" x14ac:dyDescent="0.3">
      <c r="A31">
        <v>127.7</v>
      </c>
      <c r="B31">
        <v>154.80000000000001</v>
      </c>
      <c r="C31">
        <v>226.97</v>
      </c>
      <c r="D31">
        <v>390.38</v>
      </c>
    </row>
    <row r="32" spans="1:4" x14ac:dyDescent="0.3">
      <c r="A32">
        <v>127.83</v>
      </c>
      <c r="B32">
        <v>212.55</v>
      </c>
      <c r="C32">
        <v>292.97000000000003</v>
      </c>
      <c r="D32">
        <v>523.27</v>
      </c>
    </row>
    <row r="33" spans="1:4" x14ac:dyDescent="0.3">
      <c r="A33">
        <v>133.25</v>
      </c>
      <c r="B33">
        <v>184.81</v>
      </c>
      <c r="C33">
        <v>290.11</v>
      </c>
      <c r="D33">
        <v>454.47</v>
      </c>
    </row>
    <row r="34" spans="1:4" x14ac:dyDescent="0.3">
      <c r="A34">
        <v>170.81</v>
      </c>
      <c r="B34">
        <v>160.47999999999999</v>
      </c>
      <c r="C34">
        <v>235.77</v>
      </c>
      <c r="D34">
        <v>385.69</v>
      </c>
    </row>
    <row r="35" spans="1:4" x14ac:dyDescent="0.3">
      <c r="A35">
        <v>156.56</v>
      </c>
      <c r="B35">
        <v>156.27000000000001</v>
      </c>
      <c r="C35">
        <v>224.69</v>
      </c>
      <c r="D35">
        <v>416.94</v>
      </c>
    </row>
    <row r="36" spans="1:4" x14ac:dyDescent="0.3">
      <c r="A36">
        <v>149.36000000000001</v>
      </c>
      <c r="B36">
        <v>212.28</v>
      </c>
      <c r="C36">
        <v>276.05</v>
      </c>
      <c r="D36">
        <v>568.69000000000005</v>
      </c>
    </row>
    <row r="37" spans="1:4" x14ac:dyDescent="0.3">
      <c r="A37">
        <v>142.80000000000001</v>
      </c>
      <c r="B37">
        <v>239.8</v>
      </c>
      <c r="C37">
        <v>378.11</v>
      </c>
      <c r="D37">
        <v>507.31</v>
      </c>
    </row>
    <row r="38" spans="1:4" x14ac:dyDescent="0.3">
      <c r="A38">
        <v>135.38999999999999</v>
      </c>
      <c r="B38">
        <v>201.2</v>
      </c>
      <c r="C38">
        <v>316.95</v>
      </c>
      <c r="D38">
        <v>464</v>
      </c>
    </row>
    <row r="39" spans="1:4" x14ac:dyDescent="0.3">
      <c r="A39">
        <v>160.78</v>
      </c>
      <c r="B39">
        <v>179.64</v>
      </c>
      <c r="C39">
        <v>302.33</v>
      </c>
      <c r="D39">
        <v>405.47</v>
      </c>
    </row>
    <row r="40" spans="1:4" x14ac:dyDescent="0.3">
      <c r="A40">
        <v>188.06</v>
      </c>
      <c r="B40">
        <v>184.58</v>
      </c>
      <c r="C40">
        <v>254.62</v>
      </c>
      <c r="D40">
        <v>483.84</v>
      </c>
    </row>
    <row r="41" spans="1:4" x14ac:dyDescent="0.3">
      <c r="A41">
        <v>171.12</v>
      </c>
      <c r="B41">
        <v>232.75</v>
      </c>
      <c r="C41">
        <v>442.22</v>
      </c>
      <c r="D41">
        <v>708.38</v>
      </c>
    </row>
    <row r="42" spans="1:4" x14ac:dyDescent="0.3">
      <c r="A42">
        <v>149.38999999999999</v>
      </c>
      <c r="B42">
        <v>280.58</v>
      </c>
      <c r="C42">
        <v>398.3</v>
      </c>
      <c r="D42">
        <v>621.48</v>
      </c>
    </row>
    <row r="43" spans="1:4" x14ac:dyDescent="0.3">
      <c r="A43">
        <v>139.44999999999999</v>
      </c>
      <c r="B43">
        <v>241.14</v>
      </c>
      <c r="C43">
        <v>367.48</v>
      </c>
      <c r="D43">
        <v>521.52</v>
      </c>
    </row>
    <row r="44" spans="1:4" x14ac:dyDescent="0.3">
      <c r="A44">
        <v>146.19</v>
      </c>
      <c r="B44">
        <v>209.73</v>
      </c>
      <c r="C44">
        <v>427.94</v>
      </c>
      <c r="D44">
        <v>456.83</v>
      </c>
    </row>
    <row r="45" spans="1:4" x14ac:dyDescent="0.3">
      <c r="A45">
        <v>188.77</v>
      </c>
      <c r="B45">
        <v>162.16</v>
      </c>
      <c r="C45">
        <v>312.58</v>
      </c>
      <c r="D45">
        <v>629.09</v>
      </c>
    </row>
    <row r="46" spans="1:4" x14ac:dyDescent="0.3">
      <c r="A46">
        <v>209.5</v>
      </c>
      <c r="B46">
        <v>241.41</v>
      </c>
      <c r="C46">
        <v>532.88</v>
      </c>
      <c r="D46">
        <v>680.3</v>
      </c>
    </row>
    <row r="47" spans="1:4" x14ac:dyDescent="0.3">
      <c r="A47">
        <v>201.31</v>
      </c>
      <c r="B47">
        <v>296.08999999999997</v>
      </c>
      <c r="C47">
        <v>485.47</v>
      </c>
      <c r="D47">
        <v>773.73</v>
      </c>
    </row>
    <row r="48" spans="1:4" x14ac:dyDescent="0.3">
      <c r="A48">
        <v>182.03</v>
      </c>
      <c r="B48">
        <v>255.41</v>
      </c>
      <c r="C48">
        <v>593.37</v>
      </c>
      <c r="D48">
        <v>506.72</v>
      </c>
    </row>
    <row r="49" spans="1:4" x14ac:dyDescent="0.3">
      <c r="A49">
        <v>173.44</v>
      </c>
      <c r="B49">
        <v>227.45</v>
      </c>
      <c r="C49">
        <v>365.12</v>
      </c>
      <c r="D49">
        <v>474.5</v>
      </c>
    </row>
    <row r="50" spans="1:4" x14ac:dyDescent="0.3">
      <c r="A50">
        <v>172.67</v>
      </c>
      <c r="B50">
        <v>297.92</v>
      </c>
      <c r="C50">
        <v>439.69</v>
      </c>
      <c r="D50">
        <v>468.41</v>
      </c>
    </row>
    <row r="51" spans="1:4" x14ac:dyDescent="0.3">
      <c r="A51">
        <v>206.52</v>
      </c>
      <c r="B51">
        <v>177.42</v>
      </c>
      <c r="C51">
        <v>546.47</v>
      </c>
      <c r="D51">
        <v>845.3</v>
      </c>
    </row>
    <row r="52" spans="1:4" x14ac:dyDescent="0.3">
      <c r="A52">
        <v>244</v>
      </c>
      <c r="B52">
        <v>317.22000000000003</v>
      </c>
      <c r="C52">
        <v>507.28</v>
      </c>
      <c r="D52">
        <v>903.91</v>
      </c>
    </row>
    <row r="53" spans="1:4" x14ac:dyDescent="0.3">
      <c r="A53">
        <v>221.47</v>
      </c>
      <c r="B53">
        <v>339.75</v>
      </c>
      <c r="C53">
        <v>477.03</v>
      </c>
      <c r="D53">
        <v>846.06</v>
      </c>
    </row>
    <row r="54" spans="1:4" x14ac:dyDescent="0.3">
      <c r="A54">
        <v>214.83</v>
      </c>
      <c r="B54">
        <v>316.08999999999997</v>
      </c>
      <c r="C54">
        <v>378.62</v>
      </c>
      <c r="D54">
        <v>726.62</v>
      </c>
    </row>
    <row r="55" spans="1:4" x14ac:dyDescent="0.3">
      <c r="A55">
        <v>153.44</v>
      </c>
      <c r="B55">
        <v>255.23</v>
      </c>
      <c r="C55">
        <v>373.95</v>
      </c>
      <c r="D55">
        <v>649.38</v>
      </c>
    </row>
    <row r="56" spans="1:4" x14ac:dyDescent="0.3">
      <c r="A56">
        <v>163.59</v>
      </c>
      <c r="B56">
        <v>209.5</v>
      </c>
      <c r="C56">
        <v>725.5</v>
      </c>
      <c r="D56">
        <v>859.67</v>
      </c>
    </row>
    <row r="57" spans="1:4" x14ac:dyDescent="0.3">
      <c r="A57">
        <v>164.09</v>
      </c>
      <c r="B57">
        <v>218</v>
      </c>
      <c r="C57">
        <v>753.48</v>
      </c>
      <c r="D57">
        <v>946.66</v>
      </c>
    </row>
    <row r="58" spans="1:4" x14ac:dyDescent="0.3">
      <c r="A58">
        <v>195.14</v>
      </c>
      <c r="B58">
        <v>273.98</v>
      </c>
      <c r="C58">
        <v>651.58000000000004</v>
      </c>
      <c r="D58">
        <v>938.23</v>
      </c>
    </row>
    <row r="59" spans="1:4" x14ac:dyDescent="0.3">
      <c r="A59">
        <v>266.8</v>
      </c>
      <c r="B59">
        <v>422.05</v>
      </c>
      <c r="C59">
        <v>589.66</v>
      </c>
      <c r="D59">
        <v>772.92</v>
      </c>
    </row>
    <row r="60" spans="1:4" x14ac:dyDescent="0.3">
      <c r="A60">
        <v>250.09</v>
      </c>
      <c r="B60">
        <v>354.67</v>
      </c>
      <c r="C60">
        <v>434.91</v>
      </c>
      <c r="D60">
        <v>668.87</v>
      </c>
    </row>
    <row r="61" spans="1:4" x14ac:dyDescent="0.3">
      <c r="A61">
        <v>225.75</v>
      </c>
      <c r="B61">
        <v>286.77</v>
      </c>
      <c r="C61">
        <v>1164.2</v>
      </c>
      <c r="D61">
        <v>588.55999999999995</v>
      </c>
    </row>
    <row r="62" spans="1:4" x14ac:dyDescent="0.3">
      <c r="A62">
        <v>204.41</v>
      </c>
      <c r="B62">
        <v>293.23</v>
      </c>
      <c r="C62">
        <v>707.03</v>
      </c>
      <c r="D62">
        <v>736.16</v>
      </c>
    </row>
    <row r="63" spans="1:4" x14ac:dyDescent="0.3">
      <c r="A63">
        <v>570.03</v>
      </c>
      <c r="B63">
        <v>233.05</v>
      </c>
      <c r="C63">
        <v>643.88</v>
      </c>
      <c r="D63">
        <v>1160.81</v>
      </c>
    </row>
    <row r="64" spans="1:4" x14ac:dyDescent="0.3">
      <c r="A64">
        <v>818.87</v>
      </c>
      <c r="B64">
        <v>263.31</v>
      </c>
      <c r="C64">
        <v>527.41999999999996</v>
      </c>
      <c r="D64">
        <v>1042.42</v>
      </c>
    </row>
    <row r="65" spans="1:4" x14ac:dyDescent="0.3">
      <c r="A65">
        <v>299.44</v>
      </c>
      <c r="B65">
        <v>431.62</v>
      </c>
      <c r="C65">
        <v>456.69</v>
      </c>
      <c r="D65">
        <v>986.72</v>
      </c>
    </row>
    <row r="66" spans="1:4" x14ac:dyDescent="0.3">
      <c r="A66">
        <v>261.25</v>
      </c>
      <c r="B66">
        <v>426.95</v>
      </c>
      <c r="C66">
        <v>681.67</v>
      </c>
      <c r="D66">
        <v>892.8</v>
      </c>
    </row>
    <row r="67" spans="1:4" x14ac:dyDescent="0.3">
      <c r="A67">
        <v>222.19</v>
      </c>
      <c r="B67">
        <v>361.41</v>
      </c>
      <c r="C67">
        <v>894.84</v>
      </c>
      <c r="D67">
        <v>771.5</v>
      </c>
    </row>
    <row r="68" spans="1:4" x14ac:dyDescent="0.3">
      <c r="A68">
        <v>231.12</v>
      </c>
      <c r="B68">
        <v>282.91000000000003</v>
      </c>
      <c r="C68">
        <v>770.73</v>
      </c>
      <c r="D68">
        <v>880.37</v>
      </c>
    </row>
    <row r="69" spans="1:4" x14ac:dyDescent="0.3">
      <c r="A69">
        <v>216.36</v>
      </c>
      <c r="B69">
        <v>304.77</v>
      </c>
      <c r="C69">
        <v>745.61</v>
      </c>
      <c r="D69">
        <v>1534.53</v>
      </c>
    </row>
    <row r="70" spans="1:4" x14ac:dyDescent="0.3">
      <c r="A70">
        <v>201.2</v>
      </c>
      <c r="B70">
        <v>232.7</v>
      </c>
      <c r="C70">
        <v>628.77</v>
      </c>
      <c r="D70">
        <v>1435.19</v>
      </c>
    </row>
    <row r="71" spans="1:4" x14ac:dyDescent="0.3">
      <c r="A71">
        <v>196.37</v>
      </c>
      <c r="B71">
        <v>246.72</v>
      </c>
      <c r="C71">
        <v>575.79999999999995</v>
      </c>
      <c r="D71">
        <v>1265.94</v>
      </c>
    </row>
    <row r="72" spans="1:4" x14ac:dyDescent="0.3">
      <c r="A72">
        <v>312.92</v>
      </c>
      <c r="B72">
        <v>460.77</v>
      </c>
      <c r="C72">
        <v>832.89</v>
      </c>
      <c r="D72">
        <v>1115.19</v>
      </c>
    </row>
    <row r="73" spans="1:4" x14ac:dyDescent="0.3">
      <c r="A73">
        <v>363.09</v>
      </c>
      <c r="B73">
        <v>598.28</v>
      </c>
      <c r="C73">
        <v>1372.66</v>
      </c>
      <c r="D73">
        <v>1008.03</v>
      </c>
    </row>
    <row r="74" spans="1:4" x14ac:dyDescent="0.3">
      <c r="A74">
        <v>346.84</v>
      </c>
      <c r="B74">
        <v>519.02</v>
      </c>
      <c r="C74">
        <v>1177.3</v>
      </c>
      <c r="D74">
        <v>1470.06</v>
      </c>
    </row>
    <row r="75" spans="1:4" x14ac:dyDescent="0.3">
      <c r="A75">
        <v>326.69</v>
      </c>
      <c r="B75">
        <v>433.62</v>
      </c>
      <c r="C75">
        <v>1036.8399999999999</v>
      </c>
      <c r="D75">
        <v>1697.56</v>
      </c>
    </row>
    <row r="76" spans="1:4" x14ac:dyDescent="0.3">
      <c r="A76">
        <v>306.55</v>
      </c>
      <c r="B76">
        <v>595.11</v>
      </c>
      <c r="C76">
        <v>962.31</v>
      </c>
      <c r="D76">
        <v>1445</v>
      </c>
    </row>
    <row r="77" spans="1:4" x14ac:dyDescent="0.3">
      <c r="A77">
        <v>240.91</v>
      </c>
      <c r="B77">
        <v>391.27</v>
      </c>
      <c r="C77">
        <v>1172.4100000000001</v>
      </c>
      <c r="D77">
        <v>1355.72</v>
      </c>
    </row>
    <row r="80" spans="1:4" x14ac:dyDescent="0.3">
      <c r="A80" t="s">
        <v>388</v>
      </c>
    </row>
    <row r="81" spans="1:4" x14ac:dyDescent="0.3">
      <c r="A81" t="s">
        <v>391</v>
      </c>
      <c r="B81" t="s">
        <v>392</v>
      </c>
      <c r="C81" t="s">
        <v>393</v>
      </c>
      <c r="D81" t="s">
        <v>394</v>
      </c>
    </row>
    <row r="82" spans="1:4" x14ac:dyDescent="0.3">
      <c r="A82">
        <v>3.47</v>
      </c>
      <c r="B82">
        <v>4.0199999999999996</v>
      </c>
      <c r="C82">
        <v>72.72</v>
      </c>
      <c r="D82">
        <v>4.78</v>
      </c>
    </row>
    <row r="83" spans="1:4" x14ac:dyDescent="0.3">
      <c r="A83">
        <v>4.88</v>
      </c>
      <c r="B83">
        <v>6.92</v>
      </c>
      <c r="C83">
        <v>88.48</v>
      </c>
      <c r="D83">
        <v>9.41</v>
      </c>
    </row>
    <row r="84" spans="1:4" x14ac:dyDescent="0.3">
      <c r="A84">
        <v>5.09</v>
      </c>
      <c r="B84">
        <v>6.88</v>
      </c>
      <c r="C84">
        <v>87.38</v>
      </c>
      <c r="D84">
        <v>8.75</v>
      </c>
    </row>
    <row r="85" spans="1:4" x14ac:dyDescent="0.3">
      <c r="A85">
        <v>3.95</v>
      </c>
      <c r="B85">
        <v>4.1900000000000004</v>
      </c>
      <c r="C85">
        <v>101.81</v>
      </c>
      <c r="D85">
        <v>72.92</v>
      </c>
    </row>
    <row r="86" spans="1:4" x14ac:dyDescent="0.3">
      <c r="A86">
        <v>3.77</v>
      </c>
      <c r="B86">
        <v>7.16</v>
      </c>
      <c r="C86">
        <v>100.11</v>
      </c>
      <c r="D86">
        <v>125.22</v>
      </c>
    </row>
    <row r="87" spans="1:4" x14ac:dyDescent="0.3">
      <c r="A87">
        <v>4.3099999999999996</v>
      </c>
      <c r="B87">
        <v>6.31</v>
      </c>
      <c r="C87">
        <v>105.58</v>
      </c>
      <c r="D87">
        <v>170.58</v>
      </c>
    </row>
    <row r="88" spans="1:4" x14ac:dyDescent="0.3">
      <c r="A88">
        <v>6</v>
      </c>
      <c r="B88">
        <v>5.77</v>
      </c>
      <c r="C88">
        <v>140.47</v>
      </c>
      <c r="D88">
        <v>202.77</v>
      </c>
    </row>
    <row r="89" spans="1:4" x14ac:dyDescent="0.3">
      <c r="A89">
        <v>4.7699999999999996</v>
      </c>
      <c r="B89">
        <v>132.66999999999999</v>
      </c>
      <c r="C89">
        <v>153.80000000000001</v>
      </c>
      <c r="D89">
        <v>236.3</v>
      </c>
    </row>
    <row r="90" spans="1:4" x14ac:dyDescent="0.3">
      <c r="A90">
        <v>4.95</v>
      </c>
      <c r="B90">
        <v>175.78</v>
      </c>
      <c r="C90">
        <v>179.98</v>
      </c>
      <c r="D90">
        <v>256.42</v>
      </c>
    </row>
    <row r="91" spans="1:4" x14ac:dyDescent="0.3">
      <c r="A91">
        <v>5.44</v>
      </c>
      <c r="B91">
        <v>175.22</v>
      </c>
      <c r="C91">
        <v>182.83</v>
      </c>
      <c r="D91">
        <v>291.23</v>
      </c>
    </row>
    <row r="92" spans="1:4" x14ac:dyDescent="0.3">
      <c r="A92">
        <v>25.75</v>
      </c>
      <c r="B92">
        <v>149.72</v>
      </c>
      <c r="C92">
        <v>147.94999999999999</v>
      </c>
      <c r="D92">
        <v>217.84</v>
      </c>
    </row>
    <row r="93" spans="1:4" x14ac:dyDescent="0.3">
      <c r="A93">
        <v>47.62</v>
      </c>
      <c r="B93">
        <v>176.73</v>
      </c>
      <c r="C93">
        <v>178.03</v>
      </c>
      <c r="D93">
        <v>64.58</v>
      </c>
    </row>
    <row r="94" spans="1:4" x14ac:dyDescent="0.3">
      <c r="A94">
        <v>43.78</v>
      </c>
      <c r="B94">
        <v>197.22</v>
      </c>
      <c r="C94">
        <v>166.67</v>
      </c>
      <c r="D94">
        <v>134.02000000000001</v>
      </c>
    </row>
    <row r="95" spans="1:4" x14ac:dyDescent="0.3">
      <c r="A95">
        <v>39.58</v>
      </c>
      <c r="B95">
        <v>255.05</v>
      </c>
      <c r="C95">
        <v>230.47</v>
      </c>
      <c r="D95">
        <v>327.58</v>
      </c>
    </row>
    <row r="96" spans="1:4" x14ac:dyDescent="0.3">
      <c r="A96">
        <v>39.58</v>
      </c>
      <c r="B96">
        <v>197.23</v>
      </c>
      <c r="C96">
        <v>136.94999999999999</v>
      </c>
      <c r="D96">
        <v>279.86</v>
      </c>
    </row>
    <row r="97" spans="1:4" x14ac:dyDescent="0.3">
      <c r="A97">
        <v>48.66</v>
      </c>
      <c r="B97">
        <v>270.31</v>
      </c>
      <c r="C97">
        <v>183.56</v>
      </c>
      <c r="D97">
        <v>345.73</v>
      </c>
    </row>
    <row r="98" spans="1:4" x14ac:dyDescent="0.3">
      <c r="A98">
        <v>66.39</v>
      </c>
      <c r="B98">
        <v>249.67</v>
      </c>
      <c r="C98">
        <v>214.38</v>
      </c>
      <c r="D98">
        <v>214.38</v>
      </c>
    </row>
    <row r="99" spans="1:4" x14ac:dyDescent="0.3">
      <c r="A99">
        <v>54.44</v>
      </c>
      <c r="B99">
        <v>241.59</v>
      </c>
      <c r="C99">
        <v>185.25</v>
      </c>
      <c r="D99">
        <v>332.83</v>
      </c>
    </row>
    <row r="100" spans="1:4" x14ac:dyDescent="0.3">
      <c r="A100">
        <v>48.8</v>
      </c>
      <c r="B100">
        <v>293.52999999999997</v>
      </c>
      <c r="C100">
        <v>227.91</v>
      </c>
      <c r="D100">
        <v>384</v>
      </c>
    </row>
    <row r="101" spans="1:4" x14ac:dyDescent="0.3">
      <c r="A101">
        <v>66.44</v>
      </c>
      <c r="B101">
        <v>265.56</v>
      </c>
      <c r="C101">
        <v>226.02</v>
      </c>
      <c r="D101">
        <v>323.44</v>
      </c>
    </row>
    <row r="102" spans="1:4" x14ac:dyDescent="0.3">
      <c r="A102">
        <v>88.75</v>
      </c>
      <c r="B102">
        <v>13.97</v>
      </c>
      <c r="C102">
        <v>288.16000000000003</v>
      </c>
      <c r="D102">
        <v>345.03</v>
      </c>
    </row>
    <row r="103" spans="1:4" x14ac:dyDescent="0.3">
      <c r="A103">
        <v>69.8</v>
      </c>
      <c r="B103">
        <v>106.66</v>
      </c>
      <c r="C103">
        <v>506.23</v>
      </c>
      <c r="D103">
        <v>398.11</v>
      </c>
    </row>
    <row r="104" spans="1:4" x14ac:dyDescent="0.3">
      <c r="A104">
        <v>81.34</v>
      </c>
      <c r="B104">
        <v>76.17</v>
      </c>
      <c r="C104">
        <v>369.16</v>
      </c>
      <c r="D104">
        <v>283.45</v>
      </c>
    </row>
    <row r="105" spans="1:4" x14ac:dyDescent="0.3">
      <c r="A105">
        <v>91.27</v>
      </c>
      <c r="B105">
        <v>373.06</v>
      </c>
      <c r="C105">
        <v>295.69</v>
      </c>
      <c r="D105">
        <v>460.11</v>
      </c>
    </row>
    <row r="106" spans="1:4" x14ac:dyDescent="0.3">
      <c r="A106">
        <v>122.2</v>
      </c>
      <c r="B106">
        <v>411.3</v>
      </c>
      <c r="C106">
        <v>399.11</v>
      </c>
      <c r="D106">
        <v>550.38</v>
      </c>
    </row>
    <row r="107" spans="1:4" x14ac:dyDescent="0.3">
      <c r="A107">
        <v>173.67</v>
      </c>
      <c r="B107">
        <v>433.52</v>
      </c>
      <c r="C107">
        <v>420.05</v>
      </c>
      <c r="D107">
        <v>298.72000000000003</v>
      </c>
    </row>
    <row r="108" spans="1:4" x14ac:dyDescent="0.3">
      <c r="A108">
        <v>99.73</v>
      </c>
      <c r="B108">
        <v>530.05999999999995</v>
      </c>
      <c r="C108">
        <v>430.44</v>
      </c>
      <c r="D108">
        <v>654.72</v>
      </c>
    </row>
    <row r="109" spans="1:4" x14ac:dyDescent="0.3">
      <c r="A109">
        <v>122.67</v>
      </c>
      <c r="B109">
        <v>396.52</v>
      </c>
      <c r="C109">
        <v>337.94</v>
      </c>
      <c r="D109">
        <v>264.83999999999997</v>
      </c>
    </row>
    <row r="110" spans="1:4" x14ac:dyDescent="0.3">
      <c r="A110">
        <v>167.08</v>
      </c>
      <c r="B110">
        <v>545</v>
      </c>
      <c r="C110">
        <v>373.97</v>
      </c>
      <c r="D110">
        <v>515.12</v>
      </c>
    </row>
    <row r="111" spans="1:4" x14ac:dyDescent="0.3">
      <c r="A111">
        <v>13.47</v>
      </c>
      <c r="B111">
        <v>17.39</v>
      </c>
      <c r="C111">
        <v>443.59</v>
      </c>
      <c r="D111">
        <v>385.89</v>
      </c>
    </row>
    <row r="112" spans="1:4" x14ac:dyDescent="0.3">
      <c r="A112">
        <v>14.25</v>
      </c>
      <c r="B112">
        <v>331.97</v>
      </c>
      <c r="C112">
        <v>420.91</v>
      </c>
      <c r="D112">
        <v>378.98</v>
      </c>
    </row>
    <row r="113" spans="1:4" x14ac:dyDescent="0.3">
      <c r="A113">
        <v>50.22</v>
      </c>
      <c r="B113">
        <v>112.16</v>
      </c>
      <c r="C113">
        <v>406.05</v>
      </c>
      <c r="D113">
        <v>386.58</v>
      </c>
    </row>
    <row r="114" spans="1:4" x14ac:dyDescent="0.3">
      <c r="A114">
        <v>68.34</v>
      </c>
      <c r="B114">
        <v>529.91999999999996</v>
      </c>
      <c r="C114">
        <v>487</v>
      </c>
      <c r="D114">
        <v>495.11</v>
      </c>
    </row>
    <row r="115" spans="1:4" x14ac:dyDescent="0.3">
      <c r="A115">
        <v>122.25</v>
      </c>
      <c r="B115">
        <v>502.09</v>
      </c>
      <c r="C115">
        <v>410.77</v>
      </c>
      <c r="D115">
        <v>338.02</v>
      </c>
    </row>
    <row r="116" spans="1:4" x14ac:dyDescent="0.3">
      <c r="A116">
        <v>120.45</v>
      </c>
      <c r="B116">
        <v>515.95000000000005</v>
      </c>
      <c r="C116">
        <v>454.25</v>
      </c>
      <c r="D116">
        <v>629.73</v>
      </c>
    </row>
    <row r="117" spans="1:4" x14ac:dyDescent="0.3">
      <c r="A117">
        <v>161.30000000000001</v>
      </c>
      <c r="B117">
        <v>96.14</v>
      </c>
      <c r="C117">
        <v>455.92</v>
      </c>
      <c r="D117">
        <v>476.62</v>
      </c>
    </row>
    <row r="118" spans="1:4" x14ac:dyDescent="0.3">
      <c r="A118">
        <v>103</v>
      </c>
      <c r="B118">
        <v>314.11</v>
      </c>
      <c r="C118">
        <v>362.44</v>
      </c>
      <c r="D118">
        <v>793.33</v>
      </c>
    </row>
    <row r="119" spans="1:4" x14ac:dyDescent="0.3">
      <c r="A119">
        <v>133.41</v>
      </c>
      <c r="B119">
        <v>551.77</v>
      </c>
      <c r="C119">
        <v>371.53</v>
      </c>
      <c r="D119">
        <v>464.55</v>
      </c>
    </row>
    <row r="120" spans="1:4" x14ac:dyDescent="0.3">
      <c r="A120">
        <v>119.23</v>
      </c>
      <c r="B120">
        <v>491.03</v>
      </c>
      <c r="C120">
        <v>344.81</v>
      </c>
      <c r="D120">
        <v>299.14</v>
      </c>
    </row>
    <row r="121" spans="1:4" x14ac:dyDescent="0.3">
      <c r="A121">
        <v>190.12</v>
      </c>
      <c r="B121">
        <v>328.09</v>
      </c>
      <c r="C121">
        <v>336.59</v>
      </c>
      <c r="D121">
        <v>412.66</v>
      </c>
    </row>
    <row r="122" spans="1:4" x14ac:dyDescent="0.3">
      <c r="A122">
        <v>262.58</v>
      </c>
      <c r="B122">
        <v>115.22</v>
      </c>
      <c r="C122">
        <v>306.58999999999997</v>
      </c>
      <c r="D122">
        <v>391.34</v>
      </c>
    </row>
    <row r="123" spans="1:4" x14ac:dyDescent="0.3">
      <c r="A123">
        <v>18.47</v>
      </c>
      <c r="B123">
        <v>237.7</v>
      </c>
      <c r="C123">
        <v>449.59</v>
      </c>
      <c r="D123">
        <v>337.86</v>
      </c>
    </row>
    <row r="124" spans="1:4" x14ac:dyDescent="0.3">
      <c r="A124">
        <v>61.98</v>
      </c>
      <c r="B124">
        <v>409.64</v>
      </c>
      <c r="C124">
        <v>375.55</v>
      </c>
      <c r="D124">
        <v>515.39</v>
      </c>
    </row>
    <row r="125" spans="1:4" x14ac:dyDescent="0.3">
      <c r="A125">
        <v>73.64</v>
      </c>
      <c r="B125">
        <v>476.98</v>
      </c>
      <c r="C125">
        <v>310.94</v>
      </c>
      <c r="D125">
        <v>464.67</v>
      </c>
    </row>
    <row r="126" spans="1:4" x14ac:dyDescent="0.3">
      <c r="A126">
        <v>316.06</v>
      </c>
      <c r="B126">
        <v>460.73</v>
      </c>
      <c r="C126">
        <v>297.83999999999997</v>
      </c>
      <c r="D126">
        <v>428.59</v>
      </c>
    </row>
    <row r="127" spans="1:4" x14ac:dyDescent="0.3">
      <c r="A127">
        <v>174.73</v>
      </c>
      <c r="B127">
        <v>118.67</v>
      </c>
      <c r="C127">
        <v>574.45000000000005</v>
      </c>
      <c r="D127">
        <v>425.11</v>
      </c>
    </row>
    <row r="128" spans="1:4" x14ac:dyDescent="0.3">
      <c r="A128">
        <v>115.73</v>
      </c>
      <c r="B128">
        <v>352.06</v>
      </c>
      <c r="C128">
        <v>457.55</v>
      </c>
      <c r="D128">
        <v>450.94</v>
      </c>
    </row>
    <row r="129" spans="1:4" x14ac:dyDescent="0.3">
      <c r="A129">
        <v>143.78</v>
      </c>
      <c r="B129">
        <v>706.73</v>
      </c>
      <c r="C129">
        <v>355.31</v>
      </c>
      <c r="D129">
        <v>493.05</v>
      </c>
    </row>
    <row r="130" spans="1:4" x14ac:dyDescent="0.3">
      <c r="A130">
        <v>185.22</v>
      </c>
      <c r="B130">
        <v>704.8</v>
      </c>
      <c r="C130">
        <v>501.91</v>
      </c>
      <c r="D130">
        <v>651.91999999999996</v>
      </c>
    </row>
    <row r="131" spans="1:4" x14ac:dyDescent="0.3">
      <c r="A131">
        <v>1116.53</v>
      </c>
      <c r="B131">
        <v>152.91999999999999</v>
      </c>
      <c r="C131">
        <v>1481.89</v>
      </c>
      <c r="D131">
        <v>510.41</v>
      </c>
    </row>
    <row r="132" spans="1:4" x14ac:dyDescent="0.3">
      <c r="A132">
        <v>43.08</v>
      </c>
      <c r="B132">
        <v>449.34</v>
      </c>
      <c r="C132">
        <v>391.33</v>
      </c>
      <c r="D132">
        <v>716.39</v>
      </c>
    </row>
    <row r="133" spans="1:4" x14ac:dyDescent="0.3">
      <c r="A133">
        <v>107.02</v>
      </c>
      <c r="B133">
        <v>589.03</v>
      </c>
      <c r="C133">
        <v>437.44</v>
      </c>
      <c r="D133">
        <v>594.5</v>
      </c>
    </row>
    <row r="134" spans="1:4" x14ac:dyDescent="0.3">
      <c r="A134">
        <v>204.44</v>
      </c>
      <c r="B134">
        <v>712.33</v>
      </c>
      <c r="C134">
        <v>421.12</v>
      </c>
      <c r="D134">
        <v>546.11</v>
      </c>
    </row>
    <row r="135" spans="1:4" x14ac:dyDescent="0.3">
      <c r="A135">
        <v>173</v>
      </c>
      <c r="B135">
        <v>341.19</v>
      </c>
      <c r="C135">
        <v>541.94000000000005</v>
      </c>
      <c r="D135">
        <v>839.2</v>
      </c>
    </row>
    <row r="136" spans="1:4" x14ac:dyDescent="0.3">
      <c r="A136">
        <v>196.97</v>
      </c>
      <c r="B136">
        <v>350.02</v>
      </c>
      <c r="C136">
        <v>572.97</v>
      </c>
      <c r="D136">
        <v>751.42</v>
      </c>
    </row>
    <row r="137" spans="1:4" x14ac:dyDescent="0.3">
      <c r="A137">
        <v>151.09</v>
      </c>
      <c r="B137">
        <v>958.38</v>
      </c>
      <c r="C137">
        <v>570.86</v>
      </c>
      <c r="D137">
        <v>513.44000000000005</v>
      </c>
    </row>
    <row r="138" spans="1:4" x14ac:dyDescent="0.3">
      <c r="A138">
        <v>306.52999999999997</v>
      </c>
      <c r="B138">
        <v>1057.42</v>
      </c>
      <c r="C138">
        <v>451.73</v>
      </c>
      <c r="D138">
        <v>682.53</v>
      </c>
    </row>
    <row r="139" spans="1:4" x14ac:dyDescent="0.3">
      <c r="A139">
        <v>220.94</v>
      </c>
      <c r="B139">
        <v>257.27999999999997</v>
      </c>
      <c r="C139">
        <v>491.64</v>
      </c>
      <c r="D139">
        <v>626.16</v>
      </c>
    </row>
    <row r="140" spans="1:4" x14ac:dyDescent="0.3">
      <c r="A140">
        <v>41.97</v>
      </c>
      <c r="B140">
        <v>709.14</v>
      </c>
      <c r="C140">
        <v>626.09</v>
      </c>
      <c r="D140">
        <v>664.34</v>
      </c>
    </row>
    <row r="141" spans="1:4" x14ac:dyDescent="0.3">
      <c r="A141">
        <v>513.64</v>
      </c>
      <c r="B141">
        <v>738.77</v>
      </c>
      <c r="C141">
        <v>520.55999999999995</v>
      </c>
      <c r="D141">
        <v>681.97</v>
      </c>
    </row>
    <row r="142" spans="1:4" x14ac:dyDescent="0.3">
      <c r="A142">
        <v>87.11</v>
      </c>
      <c r="B142">
        <v>481.75</v>
      </c>
      <c r="C142">
        <v>596.29999999999995</v>
      </c>
      <c r="D142">
        <v>687.75</v>
      </c>
    </row>
    <row r="143" spans="1:4" x14ac:dyDescent="0.3">
      <c r="A143">
        <v>247.38</v>
      </c>
      <c r="B143">
        <v>468.97</v>
      </c>
      <c r="C143">
        <v>1528.73</v>
      </c>
      <c r="D143">
        <v>750.34</v>
      </c>
    </row>
    <row r="144" spans="1:4" x14ac:dyDescent="0.3">
      <c r="A144">
        <v>184.05</v>
      </c>
      <c r="B144">
        <v>592.47</v>
      </c>
      <c r="C144">
        <v>543.44000000000005</v>
      </c>
      <c r="D144">
        <v>709.89</v>
      </c>
    </row>
    <row r="145" spans="1:4" x14ac:dyDescent="0.3">
      <c r="A145">
        <v>404.08</v>
      </c>
      <c r="B145">
        <v>586.91</v>
      </c>
      <c r="C145">
        <v>642.72</v>
      </c>
      <c r="D145">
        <v>1542.02</v>
      </c>
    </row>
    <row r="146" spans="1:4" x14ac:dyDescent="0.3">
      <c r="A146">
        <v>526.83000000000004</v>
      </c>
      <c r="B146">
        <v>614.95000000000005</v>
      </c>
      <c r="C146">
        <v>633.20000000000005</v>
      </c>
      <c r="D146">
        <v>918.02</v>
      </c>
    </row>
    <row r="147" spans="1:4" x14ac:dyDescent="0.3">
      <c r="A147">
        <v>110.83</v>
      </c>
      <c r="B147">
        <v>961.33</v>
      </c>
      <c r="C147">
        <v>704.91</v>
      </c>
      <c r="D147">
        <v>1256.5899999999999</v>
      </c>
    </row>
    <row r="148" spans="1:4" x14ac:dyDescent="0.3">
      <c r="A148">
        <v>78.42</v>
      </c>
      <c r="B148">
        <v>821.86</v>
      </c>
      <c r="C148">
        <v>781.42</v>
      </c>
      <c r="D148">
        <v>1105.6400000000001</v>
      </c>
    </row>
    <row r="149" spans="1:4" x14ac:dyDescent="0.3">
      <c r="A149">
        <v>263.64</v>
      </c>
      <c r="B149">
        <v>834.5</v>
      </c>
      <c r="C149">
        <v>604.34</v>
      </c>
      <c r="D149">
        <v>1452.16</v>
      </c>
    </row>
    <row r="150" spans="1:4" x14ac:dyDescent="0.3">
      <c r="A150">
        <v>207.03</v>
      </c>
      <c r="B150">
        <v>981.31</v>
      </c>
      <c r="C150">
        <v>837.22</v>
      </c>
      <c r="D150">
        <v>1163.8</v>
      </c>
    </row>
    <row r="151" spans="1:4" x14ac:dyDescent="0.3">
      <c r="A151">
        <v>285.66000000000003</v>
      </c>
      <c r="B151">
        <v>336.41</v>
      </c>
      <c r="C151">
        <v>663.8</v>
      </c>
      <c r="D151">
        <v>1775.14</v>
      </c>
    </row>
    <row r="152" spans="1:4" x14ac:dyDescent="0.3">
      <c r="A152">
        <v>511.81</v>
      </c>
      <c r="B152">
        <v>941.5</v>
      </c>
      <c r="C152">
        <v>773.31</v>
      </c>
      <c r="D152">
        <v>1327.52</v>
      </c>
    </row>
    <row r="153" spans="1:4" x14ac:dyDescent="0.3">
      <c r="A153">
        <v>116.48</v>
      </c>
      <c r="B153">
        <v>581.72</v>
      </c>
      <c r="C153">
        <v>816.41</v>
      </c>
      <c r="D153">
        <v>1473.11</v>
      </c>
    </row>
    <row r="154" spans="1:4" x14ac:dyDescent="0.3">
      <c r="A154">
        <v>109.64</v>
      </c>
      <c r="B154">
        <v>470.59</v>
      </c>
      <c r="C154">
        <v>858.52</v>
      </c>
      <c r="D154">
        <v>1416.92</v>
      </c>
    </row>
    <row r="155" spans="1:4" x14ac:dyDescent="0.3">
      <c r="A155">
        <v>214.81</v>
      </c>
      <c r="B155">
        <v>854.69</v>
      </c>
      <c r="C155">
        <v>1090.6199999999999</v>
      </c>
      <c r="D155">
        <v>1648.84</v>
      </c>
    </row>
    <row r="156" spans="1:4" x14ac:dyDescent="0.3">
      <c r="A156">
        <v>210.22</v>
      </c>
      <c r="B156">
        <v>737.39</v>
      </c>
      <c r="C156">
        <v>2088.33</v>
      </c>
      <c r="D156">
        <v>2363.11</v>
      </c>
    </row>
    <row r="159" spans="1:4" x14ac:dyDescent="0.3">
      <c r="A159" t="s">
        <v>390</v>
      </c>
    </row>
    <row r="160" spans="1:4" x14ac:dyDescent="0.3">
      <c r="A160" t="s">
        <v>391</v>
      </c>
      <c r="B160" t="s">
        <v>392</v>
      </c>
      <c r="C160" t="s">
        <v>393</v>
      </c>
      <c r="D160" t="s">
        <v>394</v>
      </c>
    </row>
    <row r="161" spans="1:4" x14ac:dyDescent="0.3">
      <c r="A161">
        <v>27.33</v>
      </c>
      <c r="B161">
        <v>54.83</v>
      </c>
      <c r="C161">
        <v>71.94</v>
      </c>
      <c r="D161">
        <v>161.88</v>
      </c>
    </row>
    <row r="162" spans="1:4" x14ac:dyDescent="0.3">
      <c r="A162">
        <v>2164.92</v>
      </c>
      <c r="B162">
        <v>3903.53</v>
      </c>
      <c r="C162">
        <v>5167.72</v>
      </c>
      <c r="D162">
        <v>9247.0300000000007</v>
      </c>
    </row>
    <row r="163" spans="1:4" x14ac:dyDescent="0.3">
      <c r="A163">
        <v>35.119999999999997</v>
      </c>
      <c r="B163">
        <v>67.17</v>
      </c>
      <c r="C163">
        <v>90.23</v>
      </c>
      <c r="D163">
        <v>167.09</v>
      </c>
    </row>
    <row r="164" spans="1:4" x14ac:dyDescent="0.3">
      <c r="A164">
        <v>2196.9499999999998</v>
      </c>
      <c r="B164">
        <v>3926.33</v>
      </c>
      <c r="C164">
        <v>5240.3900000000003</v>
      </c>
      <c r="D164">
        <v>10037.06</v>
      </c>
    </row>
    <row r="165" spans="1:4" x14ac:dyDescent="0.3">
      <c r="A165">
        <v>35.340000000000003</v>
      </c>
      <c r="B165">
        <v>73.94</v>
      </c>
      <c r="C165">
        <v>97.78</v>
      </c>
      <c r="D165">
        <v>247.16</v>
      </c>
    </row>
    <row r="166" spans="1:4" x14ac:dyDescent="0.3">
      <c r="A166">
        <v>2142.09</v>
      </c>
      <c r="B166">
        <v>4203.87</v>
      </c>
      <c r="C166">
        <v>5353.7</v>
      </c>
      <c r="D166">
        <v>9962.64</v>
      </c>
    </row>
    <row r="167" spans="1:4" x14ac:dyDescent="0.3">
      <c r="A167">
        <v>43.58</v>
      </c>
      <c r="B167">
        <v>86.95</v>
      </c>
      <c r="C167">
        <v>112.45</v>
      </c>
      <c r="D167">
        <v>359.72</v>
      </c>
    </row>
    <row r="168" spans="1:4" x14ac:dyDescent="0.3">
      <c r="A168">
        <v>2202.81</v>
      </c>
      <c r="B168">
        <v>3988.14</v>
      </c>
      <c r="C168">
        <v>5397.95</v>
      </c>
      <c r="D168">
        <v>10026.049999999999</v>
      </c>
    </row>
    <row r="169" spans="1:4" x14ac:dyDescent="0.3">
      <c r="A169">
        <v>33.06</v>
      </c>
      <c r="B169">
        <v>64.36</v>
      </c>
      <c r="C169">
        <v>80.81</v>
      </c>
      <c r="D169">
        <v>177.11</v>
      </c>
    </row>
    <row r="170" spans="1:4" x14ac:dyDescent="0.3">
      <c r="A170">
        <v>2161.06</v>
      </c>
      <c r="B170">
        <v>4069.28</v>
      </c>
      <c r="C170">
        <v>5518.22</v>
      </c>
      <c r="D170">
        <v>9901.75</v>
      </c>
    </row>
    <row r="171" spans="1:4" x14ac:dyDescent="0.3">
      <c r="A171">
        <v>37.840000000000003</v>
      </c>
      <c r="B171">
        <v>73.53</v>
      </c>
      <c r="C171">
        <v>97.67</v>
      </c>
      <c r="D171">
        <v>409.52</v>
      </c>
    </row>
    <row r="172" spans="1:4" x14ac:dyDescent="0.3">
      <c r="A172">
        <v>2257.7800000000002</v>
      </c>
      <c r="B172">
        <v>4180.5200000000004</v>
      </c>
      <c r="C172">
        <v>5523.72</v>
      </c>
      <c r="D172">
        <v>9988.0499999999993</v>
      </c>
    </row>
    <row r="173" spans="1:4" x14ac:dyDescent="0.3">
      <c r="A173">
        <v>42.58</v>
      </c>
      <c r="B173">
        <v>167.86</v>
      </c>
      <c r="C173">
        <v>119.66</v>
      </c>
      <c r="D173">
        <v>515.62</v>
      </c>
    </row>
    <row r="174" spans="1:4" x14ac:dyDescent="0.3">
      <c r="A174">
        <v>2295.36</v>
      </c>
      <c r="B174">
        <v>4232.5</v>
      </c>
      <c r="C174">
        <v>5640.66</v>
      </c>
      <c r="D174">
        <v>9938.48</v>
      </c>
    </row>
    <row r="175" spans="1:4" x14ac:dyDescent="0.3">
      <c r="A175">
        <v>49.86</v>
      </c>
      <c r="B175">
        <v>300.55</v>
      </c>
      <c r="C175">
        <v>132.83000000000001</v>
      </c>
      <c r="D175">
        <v>349.2</v>
      </c>
    </row>
    <row r="176" spans="1:4" x14ac:dyDescent="0.3">
      <c r="A176">
        <v>2307.84</v>
      </c>
      <c r="B176">
        <v>4398.92</v>
      </c>
      <c r="C176">
        <v>5746.58</v>
      </c>
      <c r="D176">
        <v>10425.530000000001</v>
      </c>
    </row>
    <row r="177" spans="1:4" x14ac:dyDescent="0.3">
      <c r="A177">
        <v>36.909999999999997</v>
      </c>
      <c r="B177">
        <v>129.38999999999999</v>
      </c>
      <c r="C177">
        <v>87.5</v>
      </c>
      <c r="D177">
        <v>196.61</v>
      </c>
    </row>
    <row r="178" spans="1:4" x14ac:dyDescent="0.3">
      <c r="A178">
        <v>2296.56</v>
      </c>
      <c r="B178">
        <v>4235.8100000000004</v>
      </c>
      <c r="C178">
        <v>5531.94</v>
      </c>
      <c r="D178">
        <v>9936.23</v>
      </c>
    </row>
    <row r="179" spans="1:4" x14ac:dyDescent="0.3">
      <c r="A179">
        <v>43.34</v>
      </c>
      <c r="B179">
        <v>75.67</v>
      </c>
      <c r="C179">
        <v>107.25</v>
      </c>
      <c r="D179">
        <v>239.2</v>
      </c>
    </row>
    <row r="180" spans="1:4" x14ac:dyDescent="0.3">
      <c r="A180">
        <v>2316.14</v>
      </c>
      <c r="B180">
        <v>4765.83</v>
      </c>
      <c r="C180">
        <v>5504.64</v>
      </c>
      <c r="D180">
        <v>9654.41</v>
      </c>
    </row>
    <row r="181" spans="1:4" x14ac:dyDescent="0.3">
      <c r="A181">
        <v>40.11</v>
      </c>
      <c r="B181">
        <v>86.17</v>
      </c>
      <c r="C181">
        <v>526.97</v>
      </c>
      <c r="D181">
        <v>496.84</v>
      </c>
    </row>
    <row r="182" spans="1:4" x14ac:dyDescent="0.3">
      <c r="A182">
        <v>2415.44</v>
      </c>
      <c r="B182">
        <v>4402.92</v>
      </c>
      <c r="C182">
        <v>5755.19</v>
      </c>
      <c r="D182">
        <v>10446.280000000001</v>
      </c>
    </row>
    <row r="183" spans="1:4" x14ac:dyDescent="0.3">
      <c r="A183">
        <v>51.89</v>
      </c>
      <c r="B183">
        <v>115.69</v>
      </c>
      <c r="C183">
        <v>147.38999999999999</v>
      </c>
      <c r="D183">
        <v>359.69</v>
      </c>
    </row>
    <row r="184" spans="1:4" x14ac:dyDescent="0.3">
      <c r="A184">
        <v>2876.95</v>
      </c>
      <c r="B184">
        <v>6036.11</v>
      </c>
      <c r="C184">
        <v>6919.45</v>
      </c>
      <c r="D184">
        <v>11955.61</v>
      </c>
    </row>
    <row r="185" spans="1:4" x14ac:dyDescent="0.3">
      <c r="A185">
        <v>40.380000000000003</v>
      </c>
      <c r="B185">
        <v>81.45</v>
      </c>
      <c r="C185">
        <v>111.34</v>
      </c>
      <c r="D185">
        <v>247.08</v>
      </c>
    </row>
    <row r="186" spans="1:4" x14ac:dyDescent="0.3">
      <c r="A186">
        <v>2362.02</v>
      </c>
      <c r="B186">
        <v>4156.12</v>
      </c>
      <c r="C186">
        <v>5615.28</v>
      </c>
      <c r="D186">
        <v>10214.129999999999</v>
      </c>
    </row>
    <row r="187" spans="1:4" x14ac:dyDescent="0.3">
      <c r="A187">
        <v>44.22</v>
      </c>
      <c r="B187">
        <v>93.08</v>
      </c>
      <c r="C187">
        <v>127.27</v>
      </c>
      <c r="D187">
        <v>326.75</v>
      </c>
    </row>
    <row r="188" spans="1:4" x14ac:dyDescent="0.3">
      <c r="A188">
        <v>2319.14</v>
      </c>
      <c r="B188">
        <v>4443.2700000000004</v>
      </c>
      <c r="C188">
        <v>5809.34</v>
      </c>
      <c r="D188">
        <v>10232.5</v>
      </c>
    </row>
    <row r="189" spans="1:4" x14ac:dyDescent="0.3">
      <c r="A189">
        <v>51.8</v>
      </c>
      <c r="B189">
        <v>107.12</v>
      </c>
      <c r="C189">
        <v>140.66999999999999</v>
      </c>
      <c r="D189">
        <v>337.33</v>
      </c>
    </row>
    <row r="190" spans="1:4" x14ac:dyDescent="0.3">
      <c r="A190">
        <v>2878.89</v>
      </c>
      <c r="B190">
        <v>4944.8900000000003</v>
      </c>
      <c r="C190">
        <v>6873.41</v>
      </c>
      <c r="D190">
        <v>12427.52</v>
      </c>
    </row>
    <row r="191" spans="1:4" x14ac:dyDescent="0.3">
      <c r="A191">
        <v>67.86</v>
      </c>
      <c r="B191">
        <v>157.16999999999999</v>
      </c>
      <c r="C191">
        <v>257.25</v>
      </c>
      <c r="D191">
        <v>428.28</v>
      </c>
    </row>
    <row r="192" spans="1:4" x14ac:dyDescent="0.3">
      <c r="A192">
        <v>4557.0600000000004</v>
      </c>
      <c r="B192">
        <v>8475.5300000000007</v>
      </c>
      <c r="C192">
        <v>11063.33</v>
      </c>
      <c r="D192">
        <v>19338.189999999999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87AE4-B962-45E2-B9C3-8F1B8AFA8F0F}">
  <dimension ref="A1:F4"/>
  <sheetViews>
    <sheetView workbookViewId="0"/>
  </sheetViews>
  <sheetFormatPr defaultRowHeight="14.4" x14ac:dyDescent="0.3"/>
  <cols>
    <col min="2" max="2" width="16.33203125" bestFit="1" customWidth="1"/>
    <col min="3" max="4" width="14.44140625" bestFit="1" customWidth="1"/>
    <col min="5" max="5" width="13.88671875" bestFit="1" customWidth="1"/>
  </cols>
  <sheetData>
    <row r="1" spans="1:6" x14ac:dyDescent="0.3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 x14ac:dyDescent="0.3">
      <c r="A2" t="s">
        <v>74</v>
      </c>
      <c r="B2" t="s">
        <v>75</v>
      </c>
      <c r="C2" t="s">
        <v>76</v>
      </c>
      <c r="D2" t="s">
        <v>77</v>
      </c>
      <c r="E2" t="s">
        <v>78</v>
      </c>
    </row>
    <row r="3" spans="1:6" x14ac:dyDescent="0.3">
      <c r="A3" t="s">
        <v>79</v>
      </c>
      <c r="B3" t="s">
        <v>80</v>
      </c>
      <c r="C3" t="s">
        <v>56</v>
      </c>
      <c r="D3" t="s">
        <v>62</v>
      </c>
      <c r="E3" t="s">
        <v>66</v>
      </c>
      <c r="F3" t="s">
        <v>78</v>
      </c>
    </row>
    <row r="4" spans="1:6" x14ac:dyDescent="0.3">
      <c r="A4" t="s">
        <v>81</v>
      </c>
      <c r="B4" t="s">
        <v>82</v>
      </c>
      <c r="C4" t="s">
        <v>58</v>
      </c>
      <c r="D4" t="s">
        <v>60</v>
      </c>
      <c r="E4" t="s">
        <v>64</v>
      </c>
      <c r="F4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B9AC-2EC6-4BFA-AE48-4C78086BB332}">
  <dimension ref="A1:X508"/>
  <sheetViews>
    <sheetView topLeftCell="A482" workbookViewId="0">
      <selection activeCell="I437" sqref="I436:I437"/>
    </sheetView>
  </sheetViews>
  <sheetFormatPr defaultRowHeight="14.4" x14ac:dyDescent="0.3"/>
  <cols>
    <col min="2" max="2" width="9.109375" customWidth="1"/>
    <col min="3" max="3" width="9.5546875" customWidth="1"/>
    <col min="4" max="4" width="9.109375" customWidth="1"/>
    <col min="5" max="5" width="9.5546875" customWidth="1"/>
    <col min="6" max="6" width="9.109375" customWidth="1"/>
    <col min="7" max="7" width="9.5546875" customWidth="1"/>
    <col min="8" max="13" width="9.109375" customWidth="1"/>
    <col min="14" max="14" width="13.33203125" bestFit="1" customWidth="1"/>
    <col min="15" max="15" width="10.6640625" bestFit="1" customWidth="1"/>
    <col min="16" max="16" width="5.33203125" customWidth="1"/>
    <col min="17" max="17" width="9.5546875" bestFit="1" customWidth="1"/>
    <col min="18" max="18" width="10.5546875" bestFit="1" customWidth="1"/>
  </cols>
  <sheetData>
    <row r="1" spans="1:24" x14ac:dyDescent="0.3">
      <c r="A1" t="s">
        <v>9</v>
      </c>
    </row>
    <row r="2" spans="1:24" x14ac:dyDescent="0.3">
      <c r="D2" t="s">
        <v>6</v>
      </c>
      <c r="I2" t="s">
        <v>7</v>
      </c>
      <c r="L2" t="s">
        <v>8</v>
      </c>
      <c r="S2" t="s">
        <v>83</v>
      </c>
      <c r="W2" t="s">
        <v>84</v>
      </c>
    </row>
    <row r="3" spans="1:24" x14ac:dyDescent="0.3">
      <c r="A3" t="s">
        <v>85</v>
      </c>
      <c r="B3" t="s">
        <v>86</v>
      </c>
      <c r="C3" t="s">
        <v>87</v>
      </c>
      <c r="D3" t="s">
        <v>88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92</v>
      </c>
      <c r="L3" t="s">
        <v>93</v>
      </c>
      <c r="M3" t="s">
        <v>94</v>
      </c>
      <c r="N3" t="s">
        <v>95</v>
      </c>
      <c r="O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7</v>
      </c>
      <c r="X3" t="s">
        <v>8</v>
      </c>
    </row>
    <row r="4" spans="1:24" x14ac:dyDescent="0.3">
      <c r="A4">
        <v>10</v>
      </c>
      <c r="B4">
        <v>0.02</v>
      </c>
      <c r="C4">
        <v>-0.26690000000000003</v>
      </c>
      <c r="D4">
        <v>0.04</v>
      </c>
      <c r="E4">
        <v>-0.09</v>
      </c>
      <c r="F4">
        <v>0.02</v>
      </c>
      <c r="G4">
        <v>-5.7099999999999998E-2</v>
      </c>
      <c r="H4">
        <v>0.132013201320132</v>
      </c>
      <c r="I4">
        <v>0.14191419141914099</v>
      </c>
      <c r="J4">
        <v>0.20132013201320101</v>
      </c>
      <c r="K4">
        <v>1.9851000000000001E-2</v>
      </c>
      <c r="L4">
        <v>1.9851000000000001E-2</v>
      </c>
      <c r="M4">
        <v>2.8101999999999999E-2</v>
      </c>
      <c r="N4">
        <v>943.3</v>
      </c>
      <c r="O4">
        <v>104.16</v>
      </c>
      <c r="Q4">
        <f>AVERAGE(B4,D4,F4)</f>
        <v>2.6666666666666668E-2</v>
      </c>
      <c r="R4">
        <f>AVERAGE(C4,E4,G4)</f>
        <v>-0.13799999999999998</v>
      </c>
      <c r="S4">
        <f>AVERAGE(H4:J4)</f>
        <v>0.158415841584158</v>
      </c>
      <c r="T4">
        <f>AVERAGE(K4:M4)</f>
        <v>2.2601333333333334E-2</v>
      </c>
      <c r="U4">
        <v>0</v>
      </c>
      <c r="V4">
        <f>MIN(R11:R41)</f>
        <v>-3.7301666666666669</v>
      </c>
      <c r="W4">
        <v>0</v>
      </c>
      <c r="X4">
        <f>MIN(T4:T78)</f>
        <v>5.0000000000000001E-3</v>
      </c>
    </row>
    <row r="5" spans="1:24" x14ac:dyDescent="0.3">
      <c r="A5">
        <v>15</v>
      </c>
      <c r="B5">
        <v>0.01</v>
      </c>
      <c r="C5">
        <v>-0.1186</v>
      </c>
      <c r="D5">
        <v>0.03</v>
      </c>
      <c r="E5">
        <v>-5.8799999999999998E-2</v>
      </c>
      <c r="F5">
        <v>0.03</v>
      </c>
      <c r="G5">
        <v>-0.2082</v>
      </c>
      <c r="H5">
        <v>0.27392739273927302</v>
      </c>
      <c r="I5">
        <v>0.196369636963696</v>
      </c>
      <c r="J5">
        <v>0.26732673267326701</v>
      </c>
      <c r="K5">
        <v>2.1502E-2</v>
      </c>
      <c r="L5">
        <v>2.3200999999999999E-2</v>
      </c>
      <c r="M5">
        <v>2.6502000000000001E-2</v>
      </c>
      <c r="N5">
        <v>1015.2</v>
      </c>
      <c r="O5">
        <v>111.09</v>
      </c>
      <c r="Q5">
        <f t="shared" ref="Q5:Q68" si="0">AVERAGE(B5,D5,F5)</f>
        <v>2.3333333333333334E-2</v>
      </c>
      <c r="R5">
        <f t="shared" ref="R5:R68" si="1">AVERAGE(C5,E5,G5)</f>
        <v>-0.12853333333333333</v>
      </c>
      <c r="S5">
        <f t="shared" ref="S5:S68" si="2">AVERAGE(H5:J5)</f>
        <v>0.24587458745874535</v>
      </c>
      <c r="T5">
        <f t="shared" ref="T5:T68" si="3">AVERAGE(K5:M5)</f>
        <v>2.3735000000000003E-2</v>
      </c>
      <c r="V5" t="s">
        <v>103</v>
      </c>
      <c r="W5" t="s">
        <v>104</v>
      </c>
      <c r="X5" t="s">
        <v>105</v>
      </c>
    </row>
    <row r="6" spans="1:24" x14ac:dyDescent="0.3">
      <c r="A6">
        <v>20</v>
      </c>
      <c r="B6">
        <v>0</v>
      </c>
      <c r="C6">
        <v>-0.1958</v>
      </c>
      <c r="D6">
        <v>0.02</v>
      </c>
      <c r="E6">
        <v>-0.1391</v>
      </c>
      <c r="F6">
        <v>0.03</v>
      </c>
      <c r="G6">
        <v>-7.9100000000000004E-2</v>
      </c>
      <c r="H6">
        <v>0.27722772277227697</v>
      </c>
      <c r="I6">
        <v>0.32673267326732602</v>
      </c>
      <c r="J6">
        <v>0.22772277227722701</v>
      </c>
      <c r="K6">
        <v>1.3251000000000001E-2</v>
      </c>
      <c r="L6">
        <v>2.1502E-2</v>
      </c>
      <c r="M6">
        <v>9.9500000000000005E-3</v>
      </c>
      <c r="N6">
        <v>1102.2</v>
      </c>
      <c r="O6">
        <v>113.64</v>
      </c>
      <c r="Q6">
        <f t="shared" si="0"/>
        <v>1.6666666666666666E-2</v>
      </c>
      <c r="R6">
        <f t="shared" si="1"/>
        <v>-0.13799999999999998</v>
      </c>
      <c r="S6">
        <f t="shared" si="2"/>
        <v>0.27722772277227664</v>
      </c>
      <c r="T6">
        <f t="shared" si="3"/>
        <v>1.4900999999999999E-2</v>
      </c>
    </row>
    <row r="7" spans="1:24" x14ac:dyDescent="0.3">
      <c r="A7">
        <v>25</v>
      </c>
      <c r="B7">
        <v>0.01</v>
      </c>
      <c r="C7">
        <v>-0.1678</v>
      </c>
      <c r="D7">
        <v>0.01</v>
      </c>
      <c r="E7">
        <v>-0.1694</v>
      </c>
      <c r="F7">
        <v>0</v>
      </c>
      <c r="G7">
        <v>-6.1100000000000002E-2</v>
      </c>
      <c r="H7">
        <v>0.27062706270627002</v>
      </c>
      <c r="I7">
        <v>0.158415841584158</v>
      </c>
      <c r="J7">
        <v>0.237623762376237</v>
      </c>
      <c r="K7">
        <v>1.3251000000000001E-2</v>
      </c>
      <c r="L7">
        <v>1.3251000000000001E-2</v>
      </c>
      <c r="M7">
        <v>8.3000000000000001E-3</v>
      </c>
      <c r="N7">
        <v>1137.8</v>
      </c>
      <c r="O7">
        <v>120.08</v>
      </c>
      <c r="Q7">
        <f t="shared" si="0"/>
        <v>6.6666666666666671E-3</v>
      </c>
      <c r="R7">
        <f t="shared" si="1"/>
        <v>-0.13276666666666667</v>
      </c>
      <c r="S7">
        <f t="shared" si="2"/>
        <v>0.22222222222222165</v>
      </c>
      <c r="T7">
        <f t="shared" si="3"/>
        <v>1.1600666666666667E-2</v>
      </c>
    </row>
    <row r="8" spans="1:24" x14ac:dyDescent="0.3">
      <c r="A8">
        <v>30</v>
      </c>
      <c r="B8">
        <v>0.01</v>
      </c>
      <c r="C8">
        <v>-0.2114</v>
      </c>
      <c r="D8">
        <v>0</v>
      </c>
      <c r="E8">
        <v>-0.2591</v>
      </c>
      <c r="F8">
        <v>0.02</v>
      </c>
      <c r="G8">
        <v>-0.2114</v>
      </c>
      <c r="H8">
        <v>0.183168316831683</v>
      </c>
      <c r="I8">
        <v>0.15511551155115499</v>
      </c>
      <c r="J8">
        <v>0.14851485148514801</v>
      </c>
      <c r="K8">
        <v>1.6551E-2</v>
      </c>
      <c r="L8">
        <v>1.6551E-2</v>
      </c>
      <c r="M8">
        <v>2.1502E-2</v>
      </c>
      <c r="N8">
        <v>1210.8</v>
      </c>
      <c r="O8">
        <v>116.08</v>
      </c>
      <c r="Q8">
        <f t="shared" si="0"/>
        <v>0.01</v>
      </c>
      <c r="R8">
        <f t="shared" si="1"/>
        <v>-0.22730000000000003</v>
      </c>
      <c r="S8">
        <f t="shared" si="2"/>
        <v>0.16226622662266199</v>
      </c>
      <c r="T8">
        <f t="shared" si="3"/>
        <v>1.8201333333333333E-2</v>
      </c>
    </row>
    <row r="9" spans="1:24" x14ac:dyDescent="0.3">
      <c r="A9">
        <v>35</v>
      </c>
      <c r="B9">
        <v>0.01</v>
      </c>
      <c r="C9">
        <v>-0.25130000000000002</v>
      </c>
      <c r="D9">
        <v>0</v>
      </c>
      <c r="E9">
        <v>-0.3241</v>
      </c>
      <c r="F9">
        <v>0</v>
      </c>
      <c r="G9">
        <v>-0.22450000000000001</v>
      </c>
      <c r="H9">
        <v>8.2508250825082494E-2</v>
      </c>
      <c r="I9">
        <v>6.1056105610560997E-2</v>
      </c>
      <c r="J9">
        <v>0.10891089108910799</v>
      </c>
      <c r="K9">
        <v>1.1601E-2</v>
      </c>
      <c r="L9">
        <v>6.6499999999999997E-3</v>
      </c>
      <c r="M9">
        <v>1.4900999999999999E-2</v>
      </c>
      <c r="N9">
        <v>1278.7</v>
      </c>
      <c r="O9">
        <v>115.45</v>
      </c>
      <c r="Q9">
        <f t="shared" si="0"/>
        <v>3.3333333333333335E-3</v>
      </c>
      <c r="R9">
        <f t="shared" si="1"/>
        <v>-0.26663333333333333</v>
      </c>
      <c r="S9">
        <f t="shared" si="2"/>
        <v>8.4158415841583831E-2</v>
      </c>
      <c r="T9">
        <f t="shared" si="3"/>
        <v>1.1050666666666667E-2</v>
      </c>
    </row>
    <row r="10" spans="1:24" x14ac:dyDescent="0.3">
      <c r="A10">
        <v>40</v>
      </c>
      <c r="B10">
        <v>0.01</v>
      </c>
      <c r="C10">
        <v>-0.28649999999999998</v>
      </c>
      <c r="D10">
        <v>0</v>
      </c>
      <c r="E10">
        <v>-0.38450000000000001</v>
      </c>
      <c r="F10">
        <v>0</v>
      </c>
      <c r="G10">
        <v>-0.28649999999999998</v>
      </c>
      <c r="H10">
        <v>0.113861386138613</v>
      </c>
      <c r="I10">
        <v>8.4158415841584094E-2</v>
      </c>
      <c r="J10">
        <v>9.7359735973597303E-2</v>
      </c>
      <c r="K10">
        <v>1.4900999999999999E-2</v>
      </c>
      <c r="L10">
        <v>9.9500000000000005E-3</v>
      </c>
      <c r="M10">
        <v>1.8200999999999998E-2</v>
      </c>
      <c r="N10">
        <v>1332.5</v>
      </c>
      <c r="O10">
        <v>116.89</v>
      </c>
      <c r="Q10">
        <f t="shared" si="0"/>
        <v>3.3333333333333335E-3</v>
      </c>
      <c r="R10">
        <f t="shared" si="1"/>
        <v>-0.31916666666666665</v>
      </c>
      <c r="S10">
        <f t="shared" si="2"/>
        <v>9.8459845984598129E-2</v>
      </c>
      <c r="T10">
        <f t="shared" si="3"/>
        <v>1.4350666666666664E-2</v>
      </c>
    </row>
    <row r="11" spans="1:24" x14ac:dyDescent="0.3">
      <c r="A11">
        <v>45</v>
      </c>
      <c r="B11">
        <v>0</v>
      </c>
      <c r="C11">
        <v>-0.39500000000000002</v>
      </c>
      <c r="D11">
        <v>0</v>
      </c>
      <c r="E11">
        <v>-0.50890000000000002</v>
      </c>
      <c r="F11">
        <v>0</v>
      </c>
      <c r="G11">
        <v>-0.35610000000000003</v>
      </c>
      <c r="H11">
        <v>8.0858085808580796E-2</v>
      </c>
      <c r="I11">
        <v>4.2904290429042903E-2</v>
      </c>
      <c r="J11">
        <v>5.2805280528052799E-2</v>
      </c>
      <c r="K11">
        <v>8.3000000000000001E-3</v>
      </c>
      <c r="L11">
        <v>6.6499999999999997E-3</v>
      </c>
      <c r="M11">
        <v>1.3251000000000001E-2</v>
      </c>
      <c r="N11">
        <v>1421.4</v>
      </c>
      <c r="O11">
        <v>121.73</v>
      </c>
      <c r="Q11">
        <f t="shared" si="0"/>
        <v>0</v>
      </c>
      <c r="R11">
        <f t="shared" si="1"/>
        <v>-0.42</v>
      </c>
      <c r="S11">
        <f t="shared" si="2"/>
        <v>5.8855885588558837E-2</v>
      </c>
      <c r="T11">
        <f t="shared" si="3"/>
        <v>9.4003333333333335E-3</v>
      </c>
    </row>
    <row r="12" spans="1:24" x14ac:dyDescent="0.3">
      <c r="A12">
        <v>50</v>
      </c>
      <c r="B12">
        <v>0</v>
      </c>
      <c r="C12">
        <v>-0.48480000000000001</v>
      </c>
      <c r="D12">
        <v>0</v>
      </c>
      <c r="E12">
        <v>-0.55900000000000005</v>
      </c>
      <c r="F12">
        <v>0</v>
      </c>
      <c r="G12">
        <v>-0.48209999999999997</v>
      </c>
      <c r="H12">
        <v>5.6105610561056098E-2</v>
      </c>
      <c r="I12">
        <v>3.1353135313531302E-2</v>
      </c>
      <c r="J12">
        <v>2.9702970297029702E-2</v>
      </c>
      <c r="K12">
        <v>8.3000000000000001E-3</v>
      </c>
      <c r="L12">
        <v>6.6499999999999997E-3</v>
      </c>
      <c r="M12">
        <v>9.9500000000000005E-3</v>
      </c>
      <c r="N12">
        <v>1479.5</v>
      </c>
      <c r="O12">
        <v>116.45</v>
      </c>
      <c r="Q12">
        <f t="shared" si="0"/>
        <v>0</v>
      </c>
      <c r="R12">
        <f t="shared" si="1"/>
        <v>-0.50863333333333338</v>
      </c>
      <c r="S12">
        <f t="shared" si="2"/>
        <v>3.9053905390539038E-2</v>
      </c>
      <c r="T12">
        <f t="shared" si="3"/>
        <v>8.3000000000000001E-3</v>
      </c>
    </row>
    <row r="13" spans="1:24" x14ac:dyDescent="0.3">
      <c r="A13">
        <v>55</v>
      </c>
      <c r="B13">
        <v>0</v>
      </c>
      <c r="C13">
        <v>-0.51119999999999999</v>
      </c>
      <c r="D13">
        <v>0</v>
      </c>
      <c r="E13">
        <v>-0.61460000000000004</v>
      </c>
      <c r="F13">
        <v>0</v>
      </c>
      <c r="G13">
        <v>-0.67720000000000002</v>
      </c>
      <c r="H13">
        <v>2.8052805280528E-2</v>
      </c>
      <c r="I13">
        <v>2.9702970297029702E-2</v>
      </c>
      <c r="J13">
        <v>4.7854785478547802E-2</v>
      </c>
      <c r="K13">
        <v>5.0000000000000001E-3</v>
      </c>
      <c r="L13">
        <v>5.0000000000000001E-3</v>
      </c>
      <c r="M13">
        <v>6.6499999999999997E-3</v>
      </c>
      <c r="N13">
        <v>1528.1</v>
      </c>
      <c r="O13">
        <v>116.73</v>
      </c>
      <c r="Q13">
        <f t="shared" si="0"/>
        <v>0</v>
      </c>
      <c r="R13">
        <f t="shared" si="1"/>
        <v>-0.60099999999999998</v>
      </c>
      <c r="S13">
        <f t="shared" si="2"/>
        <v>3.5203520352035167E-2</v>
      </c>
      <c r="T13">
        <f t="shared" si="3"/>
        <v>5.5499999999999994E-3</v>
      </c>
    </row>
    <row r="14" spans="1:24" x14ac:dyDescent="0.3">
      <c r="A14">
        <v>60</v>
      </c>
      <c r="B14">
        <v>0</v>
      </c>
      <c r="C14">
        <v>-1.0858000000000001</v>
      </c>
      <c r="D14">
        <v>0</v>
      </c>
      <c r="E14">
        <v>-1.2862</v>
      </c>
      <c r="F14">
        <v>0</v>
      </c>
      <c r="G14">
        <v>-0.82730000000000004</v>
      </c>
      <c r="H14">
        <v>3.4653465346534601E-2</v>
      </c>
      <c r="I14">
        <v>1.9801980198019799E-2</v>
      </c>
      <c r="J14">
        <v>3.3003300330033E-2</v>
      </c>
      <c r="K14">
        <v>6.6499999999999997E-3</v>
      </c>
      <c r="L14">
        <v>6.6499999999999997E-3</v>
      </c>
      <c r="M14">
        <v>9.9500000000000005E-3</v>
      </c>
      <c r="N14">
        <v>1617.3</v>
      </c>
      <c r="O14">
        <v>124.66</v>
      </c>
      <c r="Q14">
        <f t="shared" si="0"/>
        <v>0</v>
      </c>
      <c r="R14">
        <f t="shared" si="1"/>
        <v>-1.0664333333333333</v>
      </c>
      <c r="S14">
        <f t="shared" si="2"/>
        <v>2.9152915291529136E-2</v>
      </c>
      <c r="T14">
        <f t="shared" si="3"/>
        <v>7.7499999999999999E-3</v>
      </c>
    </row>
    <row r="15" spans="1:24" x14ac:dyDescent="0.3">
      <c r="A15">
        <v>65</v>
      </c>
      <c r="B15">
        <v>0</v>
      </c>
      <c r="C15">
        <v>-1.2955000000000001</v>
      </c>
      <c r="D15">
        <v>0</v>
      </c>
      <c r="E15">
        <v>-1.4877</v>
      </c>
      <c r="F15">
        <v>0</v>
      </c>
      <c r="G15">
        <v>-1.0637000000000001</v>
      </c>
      <c r="H15">
        <v>1.48514851485148E-2</v>
      </c>
      <c r="I15">
        <v>9.9009900990098994E-3</v>
      </c>
      <c r="J15">
        <v>2.3102310231023101E-2</v>
      </c>
      <c r="K15">
        <v>5.0000000000000001E-3</v>
      </c>
      <c r="L15">
        <v>5.0000000000000001E-3</v>
      </c>
      <c r="M15">
        <v>5.0000000000000001E-3</v>
      </c>
      <c r="N15">
        <v>1687.1</v>
      </c>
      <c r="O15">
        <v>118.02</v>
      </c>
      <c r="Q15">
        <f t="shared" si="0"/>
        <v>0</v>
      </c>
      <c r="R15">
        <f t="shared" si="1"/>
        <v>-1.2823</v>
      </c>
      <c r="S15">
        <f t="shared" si="2"/>
        <v>1.5951595159515931E-2</v>
      </c>
      <c r="T15">
        <f t="shared" si="3"/>
        <v>5.0000000000000001E-3</v>
      </c>
    </row>
    <row r="16" spans="1:24" x14ac:dyDescent="0.3">
      <c r="A16">
        <v>70</v>
      </c>
      <c r="B16">
        <v>0</v>
      </c>
      <c r="C16">
        <v>-1.7902</v>
      </c>
      <c r="D16">
        <v>0</v>
      </c>
      <c r="E16">
        <v>-1.9985999999999999</v>
      </c>
      <c r="F16">
        <v>0</v>
      </c>
      <c r="G16">
        <v>-1.3983000000000001</v>
      </c>
      <c r="H16">
        <v>1.8151815181518101E-2</v>
      </c>
      <c r="I16">
        <v>3.3003300330032999E-3</v>
      </c>
      <c r="J16">
        <v>1.15511551155115E-2</v>
      </c>
      <c r="K16">
        <v>6.6499999999999997E-3</v>
      </c>
      <c r="L16">
        <v>5.0000000000000001E-3</v>
      </c>
      <c r="M16">
        <v>5.0000000000000001E-3</v>
      </c>
      <c r="N16">
        <v>1750.7</v>
      </c>
      <c r="O16">
        <v>126.03</v>
      </c>
      <c r="Q16">
        <f t="shared" si="0"/>
        <v>0</v>
      </c>
      <c r="R16">
        <f t="shared" si="1"/>
        <v>-1.7290333333333334</v>
      </c>
      <c r="S16">
        <f t="shared" si="2"/>
        <v>1.1001100110010967E-2</v>
      </c>
      <c r="T16">
        <f t="shared" si="3"/>
        <v>5.5500000000000002E-3</v>
      </c>
    </row>
    <row r="17" spans="1:20" x14ac:dyDescent="0.3">
      <c r="A17">
        <v>75</v>
      </c>
      <c r="B17">
        <v>0</v>
      </c>
      <c r="C17">
        <v>-1.9623999999999999</v>
      </c>
      <c r="D17">
        <v>0</v>
      </c>
      <c r="E17">
        <v>-2.0415999999999999</v>
      </c>
      <c r="F17">
        <v>0</v>
      </c>
      <c r="G17">
        <v>-1.7282</v>
      </c>
      <c r="H17">
        <v>1.65016501650165E-2</v>
      </c>
      <c r="I17">
        <v>6.6006600660065999E-3</v>
      </c>
      <c r="J17">
        <v>1.15511551155115E-2</v>
      </c>
      <c r="K17">
        <v>5.0000000000000001E-3</v>
      </c>
      <c r="L17">
        <v>5.0000000000000001E-3</v>
      </c>
      <c r="M17">
        <v>5.0000000000000001E-3</v>
      </c>
      <c r="N17">
        <v>1845.2</v>
      </c>
      <c r="O17">
        <v>121.05</v>
      </c>
      <c r="Q17">
        <f t="shared" si="0"/>
        <v>0</v>
      </c>
      <c r="R17">
        <f t="shared" si="1"/>
        <v>-1.9107333333333332</v>
      </c>
      <c r="S17">
        <f t="shared" si="2"/>
        <v>1.1551155115511533E-2</v>
      </c>
      <c r="T17">
        <f t="shared" si="3"/>
        <v>5.0000000000000001E-3</v>
      </c>
    </row>
    <row r="18" spans="1:20" x14ac:dyDescent="0.3">
      <c r="A18">
        <v>80</v>
      </c>
      <c r="B18">
        <v>0</v>
      </c>
      <c r="C18">
        <v>-1.7703</v>
      </c>
      <c r="D18">
        <v>0</v>
      </c>
      <c r="E18">
        <v>-2.3119000000000001</v>
      </c>
      <c r="F18">
        <v>0</v>
      </c>
      <c r="G18">
        <v>-1.8376999999999999</v>
      </c>
      <c r="H18">
        <v>6.6006600660065999E-3</v>
      </c>
      <c r="I18">
        <v>3.3003300330032999E-3</v>
      </c>
      <c r="J18">
        <v>8.2508250825082501E-3</v>
      </c>
      <c r="K18">
        <v>5.0000000000000001E-3</v>
      </c>
      <c r="L18">
        <v>5.0000000000000001E-3</v>
      </c>
      <c r="M18">
        <v>5.0000000000000001E-3</v>
      </c>
      <c r="N18">
        <v>1938.4</v>
      </c>
      <c r="O18">
        <v>128.84</v>
      </c>
      <c r="Q18">
        <f t="shared" si="0"/>
        <v>0</v>
      </c>
      <c r="R18">
        <f t="shared" si="1"/>
        <v>-1.9733000000000001</v>
      </c>
      <c r="S18">
        <f t="shared" si="2"/>
        <v>6.0506050605060495E-3</v>
      </c>
      <c r="T18">
        <f t="shared" si="3"/>
        <v>5.0000000000000001E-3</v>
      </c>
    </row>
    <row r="19" spans="1:20" x14ac:dyDescent="0.3">
      <c r="A19">
        <v>85</v>
      </c>
      <c r="B19">
        <v>0</v>
      </c>
      <c r="C19">
        <v>-2.3767999999999998</v>
      </c>
      <c r="D19">
        <v>0</v>
      </c>
      <c r="E19">
        <v>-3.0348999999999999</v>
      </c>
      <c r="F19">
        <v>0</v>
      </c>
      <c r="G19">
        <v>-2.3767999999999998</v>
      </c>
      <c r="H19">
        <v>3.3003300330032999E-3</v>
      </c>
      <c r="I19">
        <v>1.65016501650165E-3</v>
      </c>
      <c r="J19">
        <v>3.3003300330032999E-3</v>
      </c>
      <c r="K19">
        <v>5.0000000000000001E-3</v>
      </c>
      <c r="L19">
        <v>5.0000000000000001E-3</v>
      </c>
      <c r="M19">
        <v>5.0000000000000001E-3</v>
      </c>
      <c r="N19">
        <v>1951.4</v>
      </c>
      <c r="O19">
        <v>124.22</v>
      </c>
      <c r="Q19">
        <f t="shared" si="0"/>
        <v>0</v>
      </c>
      <c r="R19">
        <f t="shared" si="1"/>
        <v>-2.5961666666666665</v>
      </c>
      <c r="S19">
        <f t="shared" si="2"/>
        <v>2.75027502750275E-3</v>
      </c>
      <c r="T19">
        <f t="shared" si="3"/>
        <v>5.0000000000000001E-3</v>
      </c>
    </row>
    <row r="20" spans="1:20" x14ac:dyDescent="0.3">
      <c r="A20">
        <v>90</v>
      </c>
      <c r="B20">
        <v>0</v>
      </c>
      <c r="C20">
        <v>-2.5809000000000002</v>
      </c>
      <c r="D20">
        <v>0</v>
      </c>
      <c r="E20">
        <v>-3.0781999999999998</v>
      </c>
      <c r="F20">
        <v>0</v>
      </c>
      <c r="G20">
        <v>-2.6564000000000001</v>
      </c>
      <c r="H20">
        <v>1.65016501650165E-3</v>
      </c>
      <c r="I20">
        <v>3.3003300330032999E-3</v>
      </c>
      <c r="J20">
        <v>0</v>
      </c>
      <c r="K20">
        <v>5.0000000000000001E-3</v>
      </c>
      <c r="L20">
        <v>5.0000000000000001E-3</v>
      </c>
      <c r="M20">
        <v>5.0000000000000001E-3</v>
      </c>
      <c r="N20">
        <v>2059.4</v>
      </c>
      <c r="O20">
        <v>123.58</v>
      </c>
      <c r="Q20">
        <f t="shared" si="0"/>
        <v>0</v>
      </c>
      <c r="R20">
        <f t="shared" si="1"/>
        <v>-2.7718333333333334</v>
      </c>
      <c r="S20">
        <f t="shared" si="2"/>
        <v>1.65016501650165E-3</v>
      </c>
      <c r="T20">
        <f t="shared" si="3"/>
        <v>5.0000000000000001E-3</v>
      </c>
    </row>
    <row r="21" spans="1:20" x14ac:dyDescent="0.3">
      <c r="A21">
        <v>95</v>
      </c>
      <c r="B21">
        <v>0</v>
      </c>
      <c r="C21">
        <v>-2.7749000000000001</v>
      </c>
      <c r="D21">
        <v>0</v>
      </c>
      <c r="E21">
        <v>-3.2166000000000001</v>
      </c>
      <c r="F21">
        <v>0</v>
      </c>
      <c r="G21">
        <v>-2.7749000000000001</v>
      </c>
      <c r="H21">
        <v>1.65016501650165E-3</v>
      </c>
      <c r="I21">
        <v>1.65016501650165E-3</v>
      </c>
      <c r="J21">
        <v>0</v>
      </c>
      <c r="K21">
        <v>5.0000000000000001E-3</v>
      </c>
      <c r="L21">
        <v>5.0000000000000001E-3</v>
      </c>
      <c r="M21">
        <v>5.0000000000000001E-3</v>
      </c>
      <c r="N21">
        <v>2046</v>
      </c>
      <c r="O21">
        <v>133.86000000000001</v>
      </c>
      <c r="Q21">
        <f t="shared" si="0"/>
        <v>0</v>
      </c>
      <c r="R21">
        <f t="shared" si="1"/>
        <v>-2.9221333333333335</v>
      </c>
      <c r="S21">
        <f t="shared" si="2"/>
        <v>1.1001100110011001E-3</v>
      </c>
      <c r="T21">
        <f t="shared" si="3"/>
        <v>5.0000000000000001E-3</v>
      </c>
    </row>
    <row r="22" spans="1:20" x14ac:dyDescent="0.3">
      <c r="A22">
        <v>100</v>
      </c>
      <c r="B22">
        <v>0</v>
      </c>
      <c r="C22">
        <v>-2.9883999999999999</v>
      </c>
      <c r="D22">
        <v>0</v>
      </c>
      <c r="E22">
        <v>-3.3308</v>
      </c>
      <c r="F22">
        <v>0</v>
      </c>
      <c r="G22">
        <v>-3.1202999999999999</v>
      </c>
      <c r="H22">
        <v>0</v>
      </c>
      <c r="I22">
        <v>1.65016501650165E-3</v>
      </c>
      <c r="J22">
        <v>0</v>
      </c>
      <c r="K22">
        <v>5.0000000000000001E-3</v>
      </c>
      <c r="L22">
        <v>5.0000000000000001E-3</v>
      </c>
      <c r="M22">
        <v>5.0000000000000001E-3</v>
      </c>
      <c r="N22">
        <v>2142.1999999999998</v>
      </c>
      <c r="O22">
        <v>122.56</v>
      </c>
      <c r="Q22">
        <f t="shared" si="0"/>
        <v>0</v>
      </c>
      <c r="R22">
        <f t="shared" si="1"/>
        <v>-3.1465000000000001</v>
      </c>
      <c r="S22">
        <f t="shared" si="2"/>
        <v>5.5005500550055003E-4</v>
      </c>
      <c r="T22">
        <f t="shared" si="3"/>
        <v>5.0000000000000001E-3</v>
      </c>
    </row>
    <row r="23" spans="1:20" x14ac:dyDescent="0.3">
      <c r="A23">
        <v>105</v>
      </c>
      <c r="B23">
        <v>0</v>
      </c>
      <c r="C23">
        <v>-2.8142999999999998</v>
      </c>
      <c r="D23">
        <v>0</v>
      </c>
      <c r="E23">
        <v>-3.5916000000000001</v>
      </c>
      <c r="F23">
        <v>0</v>
      </c>
      <c r="G23">
        <v>-3.2075999999999998</v>
      </c>
      <c r="H23">
        <v>0</v>
      </c>
      <c r="I23">
        <v>0</v>
      </c>
      <c r="J23">
        <v>0</v>
      </c>
      <c r="K23">
        <v>5.0000000000000001E-3</v>
      </c>
      <c r="L23">
        <v>5.0000000000000001E-3</v>
      </c>
      <c r="M23">
        <v>5.0000000000000001E-3</v>
      </c>
      <c r="N23">
        <v>2215.9</v>
      </c>
      <c r="O23">
        <v>139.72</v>
      </c>
      <c r="Q23">
        <f t="shared" si="0"/>
        <v>0</v>
      </c>
      <c r="R23">
        <f t="shared" si="1"/>
        <v>-3.2044999999999999</v>
      </c>
      <c r="S23">
        <f t="shared" si="2"/>
        <v>0</v>
      </c>
      <c r="T23">
        <f t="shared" si="3"/>
        <v>5.0000000000000001E-3</v>
      </c>
    </row>
    <row r="24" spans="1:20" x14ac:dyDescent="0.3">
      <c r="A24">
        <v>110</v>
      </c>
      <c r="B24">
        <v>0</v>
      </c>
      <c r="C24">
        <v>-2.8559999999999999</v>
      </c>
      <c r="D24">
        <v>0</v>
      </c>
      <c r="E24">
        <v>-3.7033</v>
      </c>
      <c r="F24">
        <v>0</v>
      </c>
      <c r="G24">
        <v>-3.2844000000000002</v>
      </c>
      <c r="H24">
        <v>0</v>
      </c>
      <c r="I24">
        <v>0</v>
      </c>
      <c r="J24">
        <v>0</v>
      </c>
      <c r="K24">
        <v>5.0000000000000001E-3</v>
      </c>
      <c r="L24">
        <v>5.0000000000000001E-3</v>
      </c>
      <c r="M24">
        <v>5.0000000000000001E-3</v>
      </c>
      <c r="N24">
        <v>2280.8000000000002</v>
      </c>
      <c r="O24">
        <v>132.5</v>
      </c>
      <c r="Q24">
        <f t="shared" si="0"/>
        <v>0</v>
      </c>
      <c r="R24">
        <f t="shared" si="1"/>
        <v>-3.2812333333333332</v>
      </c>
      <c r="S24">
        <f t="shared" si="2"/>
        <v>0</v>
      </c>
      <c r="T24">
        <f t="shared" si="3"/>
        <v>5.0000000000000001E-3</v>
      </c>
    </row>
    <row r="25" spans="1:20" x14ac:dyDescent="0.3">
      <c r="A25">
        <v>115</v>
      </c>
      <c r="B25">
        <v>0</v>
      </c>
      <c r="C25">
        <v>-2.9116</v>
      </c>
      <c r="D25">
        <v>0</v>
      </c>
      <c r="E25">
        <v>-3.7517</v>
      </c>
      <c r="F25">
        <v>0</v>
      </c>
      <c r="G25">
        <v>-3.4676</v>
      </c>
      <c r="H25">
        <v>0</v>
      </c>
      <c r="I25">
        <v>0</v>
      </c>
      <c r="J25">
        <v>0</v>
      </c>
      <c r="K25">
        <v>5.0000000000000001E-3</v>
      </c>
      <c r="L25">
        <v>5.0000000000000001E-3</v>
      </c>
      <c r="M25">
        <v>5.0000000000000001E-3</v>
      </c>
      <c r="N25">
        <v>2378.6999999999998</v>
      </c>
      <c r="O25">
        <v>123.2</v>
      </c>
      <c r="Q25">
        <f t="shared" si="0"/>
        <v>0</v>
      </c>
      <c r="R25">
        <f t="shared" si="1"/>
        <v>-3.3769666666666667</v>
      </c>
      <c r="S25">
        <f t="shared" si="2"/>
        <v>0</v>
      </c>
      <c r="T25">
        <f t="shared" si="3"/>
        <v>5.0000000000000001E-3</v>
      </c>
    </row>
    <row r="26" spans="1:20" x14ac:dyDescent="0.3">
      <c r="A26">
        <v>120</v>
      </c>
      <c r="B26">
        <v>0</v>
      </c>
      <c r="C26">
        <v>-3.0918000000000001</v>
      </c>
      <c r="D26">
        <v>0</v>
      </c>
      <c r="E26">
        <v>-3.5699000000000001</v>
      </c>
      <c r="F26">
        <v>0</v>
      </c>
      <c r="G26">
        <v>-3.6478000000000002</v>
      </c>
      <c r="H26">
        <v>0</v>
      </c>
      <c r="I26">
        <v>0</v>
      </c>
      <c r="J26">
        <v>0</v>
      </c>
      <c r="K26">
        <v>5.0000000000000001E-3</v>
      </c>
      <c r="L26">
        <v>5.0000000000000001E-3</v>
      </c>
      <c r="M26">
        <v>5.0000000000000001E-3</v>
      </c>
      <c r="N26">
        <v>2480.1999999999998</v>
      </c>
      <c r="O26">
        <v>582.36</v>
      </c>
      <c r="Q26">
        <f t="shared" si="0"/>
        <v>0</v>
      </c>
      <c r="R26">
        <f t="shared" si="1"/>
        <v>-3.4365000000000001</v>
      </c>
      <c r="S26">
        <f t="shared" si="2"/>
        <v>0</v>
      </c>
      <c r="T26">
        <f t="shared" si="3"/>
        <v>5.0000000000000001E-3</v>
      </c>
    </row>
    <row r="27" spans="1:20" x14ac:dyDescent="0.3">
      <c r="A27">
        <v>125</v>
      </c>
      <c r="B27">
        <v>0</v>
      </c>
      <c r="C27">
        <v>-3.3912</v>
      </c>
      <c r="D27">
        <v>0</v>
      </c>
      <c r="E27">
        <v>-3.7086000000000001</v>
      </c>
      <c r="F27">
        <v>0</v>
      </c>
      <c r="G27">
        <v>-3.5627</v>
      </c>
      <c r="H27">
        <v>0</v>
      </c>
      <c r="I27">
        <v>0</v>
      </c>
      <c r="J27">
        <v>0</v>
      </c>
      <c r="K27">
        <v>5.0000000000000001E-3</v>
      </c>
      <c r="L27">
        <v>5.0000000000000001E-3</v>
      </c>
      <c r="M27">
        <v>5.0000000000000001E-3</v>
      </c>
      <c r="N27">
        <v>2598.9</v>
      </c>
      <c r="O27">
        <v>540.22</v>
      </c>
      <c r="Q27">
        <f t="shared" si="0"/>
        <v>0</v>
      </c>
      <c r="R27">
        <f t="shared" si="1"/>
        <v>-3.5541666666666667</v>
      </c>
      <c r="S27">
        <f t="shared" si="2"/>
        <v>0</v>
      </c>
      <c r="T27">
        <f t="shared" si="3"/>
        <v>5.0000000000000001E-3</v>
      </c>
    </row>
    <row r="28" spans="1:20" x14ac:dyDescent="0.3">
      <c r="A28">
        <v>130</v>
      </c>
      <c r="B28">
        <v>0</v>
      </c>
      <c r="C28">
        <v>-3.3725999999999998</v>
      </c>
      <c r="D28">
        <v>0</v>
      </c>
      <c r="E28">
        <v>-3.7526999999999999</v>
      </c>
      <c r="F28">
        <v>0</v>
      </c>
      <c r="G28">
        <v>-3.5457999999999998</v>
      </c>
      <c r="H28">
        <v>0</v>
      </c>
      <c r="I28">
        <v>0</v>
      </c>
      <c r="J28">
        <v>0</v>
      </c>
      <c r="K28">
        <v>5.0000000000000001E-3</v>
      </c>
      <c r="L28">
        <v>5.0000000000000001E-3</v>
      </c>
      <c r="M28">
        <v>5.0000000000000001E-3</v>
      </c>
      <c r="N28">
        <v>2715.8</v>
      </c>
      <c r="O28">
        <v>386.17</v>
      </c>
      <c r="Q28">
        <f t="shared" si="0"/>
        <v>0</v>
      </c>
      <c r="R28">
        <f t="shared" si="1"/>
        <v>-3.557033333333333</v>
      </c>
      <c r="S28">
        <f t="shared" si="2"/>
        <v>0</v>
      </c>
      <c r="T28">
        <f t="shared" si="3"/>
        <v>5.0000000000000001E-3</v>
      </c>
    </row>
    <row r="29" spans="1:20" x14ac:dyDescent="0.3">
      <c r="A29">
        <v>135</v>
      </c>
      <c r="B29">
        <v>0</v>
      </c>
      <c r="C29">
        <v>-3.6233</v>
      </c>
      <c r="D29">
        <v>0</v>
      </c>
      <c r="E29">
        <v>-3.7972999999999999</v>
      </c>
      <c r="F29">
        <v>0</v>
      </c>
      <c r="G29">
        <v>-3.7698999999999998</v>
      </c>
      <c r="H29">
        <v>0</v>
      </c>
      <c r="I29">
        <v>0</v>
      </c>
      <c r="J29">
        <v>0</v>
      </c>
      <c r="K29">
        <v>5.0000000000000001E-3</v>
      </c>
      <c r="L29">
        <v>5.0000000000000001E-3</v>
      </c>
      <c r="M29">
        <v>5.0000000000000001E-3</v>
      </c>
      <c r="N29">
        <v>2822.2</v>
      </c>
      <c r="O29">
        <v>124.39</v>
      </c>
      <c r="Q29">
        <f t="shared" si="0"/>
        <v>0</v>
      </c>
      <c r="R29">
        <f t="shared" si="1"/>
        <v>-3.7301666666666669</v>
      </c>
      <c r="S29">
        <f t="shared" si="2"/>
        <v>0</v>
      </c>
      <c r="T29">
        <f t="shared" si="3"/>
        <v>5.0000000000000001E-3</v>
      </c>
    </row>
    <row r="30" spans="1:20" x14ac:dyDescent="0.3">
      <c r="A30">
        <v>140</v>
      </c>
      <c r="B30">
        <v>0</v>
      </c>
      <c r="C30">
        <v>-3.476</v>
      </c>
      <c r="D30">
        <v>0</v>
      </c>
      <c r="E30">
        <v>-3.8033999999999999</v>
      </c>
      <c r="F30">
        <v>0</v>
      </c>
      <c r="G30">
        <v>-3.6778</v>
      </c>
      <c r="H30">
        <v>0</v>
      </c>
      <c r="I30">
        <v>0</v>
      </c>
      <c r="J30">
        <v>0</v>
      </c>
      <c r="K30">
        <v>5.0000000000000001E-3</v>
      </c>
      <c r="L30">
        <v>5.0000000000000001E-3</v>
      </c>
      <c r="M30">
        <v>5.0000000000000001E-3</v>
      </c>
      <c r="N30">
        <v>2898.3</v>
      </c>
      <c r="O30">
        <v>134.47</v>
      </c>
      <c r="Q30">
        <f t="shared" si="0"/>
        <v>0</v>
      </c>
      <c r="R30">
        <f t="shared" si="1"/>
        <v>-3.6524000000000001</v>
      </c>
      <c r="S30">
        <f t="shared" si="2"/>
        <v>0</v>
      </c>
      <c r="T30">
        <f t="shared" si="3"/>
        <v>5.0000000000000001E-3</v>
      </c>
    </row>
    <row r="31" spans="1:20" x14ac:dyDescent="0.3">
      <c r="A31">
        <v>145</v>
      </c>
      <c r="B31">
        <v>0</v>
      </c>
      <c r="C31">
        <v>-3.327</v>
      </c>
      <c r="D31">
        <v>0</v>
      </c>
      <c r="E31">
        <v>-3.8565</v>
      </c>
      <c r="F31">
        <v>0</v>
      </c>
      <c r="G31">
        <v>-3.5306000000000002</v>
      </c>
      <c r="H31">
        <v>0</v>
      </c>
      <c r="I31">
        <v>0</v>
      </c>
      <c r="J31">
        <v>0</v>
      </c>
      <c r="K31">
        <v>5.0000000000000001E-3</v>
      </c>
      <c r="L31">
        <v>5.0000000000000001E-3</v>
      </c>
      <c r="M31">
        <v>5.0000000000000001E-3</v>
      </c>
      <c r="N31">
        <v>2944.4</v>
      </c>
      <c r="O31">
        <v>127.58</v>
      </c>
      <c r="Q31">
        <f t="shared" si="0"/>
        <v>0</v>
      </c>
      <c r="R31">
        <f t="shared" si="1"/>
        <v>-3.5713666666666666</v>
      </c>
      <c r="S31">
        <f t="shared" si="2"/>
        <v>0</v>
      </c>
      <c r="T31">
        <f t="shared" si="3"/>
        <v>5.0000000000000001E-3</v>
      </c>
    </row>
    <row r="32" spans="1:20" x14ac:dyDescent="0.3">
      <c r="A32">
        <v>150</v>
      </c>
      <c r="B32">
        <v>0</v>
      </c>
      <c r="C32">
        <v>-3.0817999999999999</v>
      </c>
      <c r="D32">
        <v>0</v>
      </c>
      <c r="E32">
        <v>-3.6865999999999999</v>
      </c>
      <c r="F32">
        <v>0</v>
      </c>
      <c r="G32">
        <v>-3.2025999999999999</v>
      </c>
      <c r="H32">
        <v>0</v>
      </c>
      <c r="I32">
        <v>0</v>
      </c>
      <c r="J32">
        <v>0</v>
      </c>
      <c r="K32">
        <v>5.0000000000000001E-3</v>
      </c>
      <c r="L32">
        <v>5.0000000000000001E-3</v>
      </c>
      <c r="M32">
        <v>5.0000000000000001E-3</v>
      </c>
      <c r="N32">
        <v>3112.5</v>
      </c>
      <c r="O32">
        <v>127.7</v>
      </c>
      <c r="Q32">
        <f t="shared" si="0"/>
        <v>0</v>
      </c>
      <c r="R32">
        <f t="shared" si="1"/>
        <v>-3.3236666666666665</v>
      </c>
      <c r="S32">
        <f t="shared" si="2"/>
        <v>0</v>
      </c>
      <c r="T32">
        <f t="shared" si="3"/>
        <v>5.0000000000000001E-3</v>
      </c>
    </row>
    <row r="33" spans="1:20" x14ac:dyDescent="0.3">
      <c r="A33">
        <v>155</v>
      </c>
      <c r="B33">
        <v>0</v>
      </c>
      <c r="C33">
        <v>-3.1027</v>
      </c>
      <c r="D33">
        <v>0</v>
      </c>
      <c r="E33">
        <v>-3.6634000000000002</v>
      </c>
      <c r="F33">
        <v>0</v>
      </c>
      <c r="G33">
        <v>-3.0703999999999998</v>
      </c>
      <c r="H33">
        <v>1.65016501650165E-3</v>
      </c>
      <c r="I33">
        <v>0</v>
      </c>
      <c r="J33">
        <v>0</v>
      </c>
      <c r="K33">
        <v>5.0000000000000001E-3</v>
      </c>
      <c r="L33">
        <v>5.0000000000000001E-3</v>
      </c>
      <c r="M33">
        <v>5.0000000000000001E-3</v>
      </c>
      <c r="N33">
        <v>3299.1</v>
      </c>
      <c r="O33">
        <v>127.83</v>
      </c>
      <c r="Q33">
        <f t="shared" si="0"/>
        <v>0</v>
      </c>
      <c r="R33">
        <f t="shared" si="1"/>
        <v>-3.278833333333333</v>
      </c>
      <c r="S33">
        <f t="shared" si="2"/>
        <v>5.5005500550055003E-4</v>
      </c>
      <c r="T33">
        <f t="shared" si="3"/>
        <v>5.0000000000000001E-3</v>
      </c>
    </row>
    <row r="34" spans="1:20" x14ac:dyDescent="0.3">
      <c r="A34">
        <v>160</v>
      </c>
      <c r="B34">
        <v>0</v>
      </c>
      <c r="C34">
        <v>-2.9994999999999998</v>
      </c>
      <c r="D34">
        <v>0</v>
      </c>
      <c r="E34">
        <v>-3.4165999999999999</v>
      </c>
      <c r="F34">
        <v>0</v>
      </c>
      <c r="G34">
        <v>-2.9211999999999998</v>
      </c>
      <c r="H34">
        <v>0</v>
      </c>
      <c r="I34">
        <v>0</v>
      </c>
      <c r="J34">
        <v>0</v>
      </c>
      <c r="K34">
        <v>5.0000000000000001E-3</v>
      </c>
      <c r="L34">
        <v>5.0000000000000001E-3</v>
      </c>
      <c r="M34">
        <v>5.0000000000000001E-3</v>
      </c>
      <c r="N34">
        <v>3489.4</v>
      </c>
      <c r="O34">
        <v>133.25</v>
      </c>
      <c r="Q34">
        <f t="shared" si="0"/>
        <v>0</v>
      </c>
      <c r="R34">
        <f t="shared" si="1"/>
        <v>-3.1124333333333332</v>
      </c>
      <c r="S34">
        <f t="shared" si="2"/>
        <v>0</v>
      </c>
      <c r="T34">
        <f t="shared" si="3"/>
        <v>5.0000000000000001E-3</v>
      </c>
    </row>
    <row r="35" spans="1:20" x14ac:dyDescent="0.3">
      <c r="A35">
        <v>165</v>
      </c>
      <c r="B35">
        <v>0</v>
      </c>
      <c r="C35">
        <v>-2.4859</v>
      </c>
      <c r="D35">
        <v>0</v>
      </c>
      <c r="E35">
        <v>-3.2199</v>
      </c>
      <c r="F35">
        <v>0</v>
      </c>
      <c r="G35">
        <v>-2.6533000000000002</v>
      </c>
      <c r="H35">
        <v>0</v>
      </c>
      <c r="I35">
        <v>3.3003300330032999E-3</v>
      </c>
      <c r="J35">
        <v>1.65016501650165E-3</v>
      </c>
      <c r="K35">
        <v>5.0000000000000001E-3</v>
      </c>
      <c r="L35">
        <v>5.0000000000000001E-3</v>
      </c>
      <c r="M35">
        <v>5.0000000000000001E-3</v>
      </c>
      <c r="N35">
        <v>3543</v>
      </c>
      <c r="O35">
        <v>170.81</v>
      </c>
      <c r="Q35">
        <f t="shared" si="0"/>
        <v>0</v>
      </c>
      <c r="R35">
        <f t="shared" si="1"/>
        <v>-2.7863666666666664</v>
      </c>
      <c r="S35">
        <f t="shared" si="2"/>
        <v>1.65016501650165E-3</v>
      </c>
      <c r="T35">
        <f t="shared" si="3"/>
        <v>5.0000000000000001E-3</v>
      </c>
    </row>
    <row r="36" spans="1:20" x14ac:dyDescent="0.3">
      <c r="A36">
        <v>170</v>
      </c>
      <c r="B36">
        <v>0</v>
      </c>
      <c r="C36">
        <v>-2.4123000000000001</v>
      </c>
      <c r="D36">
        <v>0</v>
      </c>
      <c r="E36">
        <v>-2.8794</v>
      </c>
      <c r="F36">
        <v>0</v>
      </c>
      <c r="G36">
        <v>-2.4178999999999999</v>
      </c>
      <c r="H36">
        <v>0</v>
      </c>
      <c r="I36">
        <v>1.65016501650165E-3</v>
      </c>
      <c r="J36">
        <v>0</v>
      </c>
      <c r="K36">
        <v>5.0000000000000001E-3</v>
      </c>
      <c r="L36">
        <v>5.0000000000000001E-3</v>
      </c>
      <c r="M36">
        <v>5.0000000000000001E-3</v>
      </c>
      <c r="N36">
        <v>3489.9</v>
      </c>
      <c r="O36">
        <v>156.56</v>
      </c>
      <c r="Q36">
        <f t="shared" si="0"/>
        <v>0</v>
      </c>
      <c r="R36">
        <f t="shared" si="1"/>
        <v>-2.5698666666666665</v>
      </c>
      <c r="S36">
        <f t="shared" si="2"/>
        <v>5.5005500550055003E-4</v>
      </c>
      <c r="T36">
        <f t="shared" si="3"/>
        <v>5.0000000000000001E-3</v>
      </c>
    </row>
    <row r="37" spans="1:20" x14ac:dyDescent="0.3">
      <c r="A37">
        <v>175</v>
      </c>
      <c r="B37">
        <v>0</v>
      </c>
      <c r="C37">
        <v>-2.089</v>
      </c>
      <c r="D37">
        <v>0</v>
      </c>
      <c r="E37">
        <v>-2.8557999999999999</v>
      </c>
      <c r="F37">
        <v>0</v>
      </c>
      <c r="G37">
        <v>-2.1999</v>
      </c>
      <c r="H37">
        <v>3.3003300330032999E-3</v>
      </c>
      <c r="I37">
        <v>1.65016501650165E-3</v>
      </c>
      <c r="J37">
        <v>1.65016501650165E-3</v>
      </c>
      <c r="K37">
        <v>5.0000000000000001E-3</v>
      </c>
      <c r="L37">
        <v>5.0000000000000001E-3</v>
      </c>
      <c r="M37">
        <v>5.0000000000000001E-3</v>
      </c>
      <c r="N37">
        <v>3532.2</v>
      </c>
      <c r="O37">
        <v>149.36000000000001</v>
      </c>
      <c r="Q37">
        <f t="shared" si="0"/>
        <v>0</v>
      </c>
      <c r="R37">
        <f t="shared" si="1"/>
        <v>-2.3815666666666666</v>
      </c>
      <c r="S37">
        <f t="shared" si="2"/>
        <v>2.2002200220022001E-3</v>
      </c>
      <c r="T37">
        <f t="shared" si="3"/>
        <v>5.0000000000000001E-3</v>
      </c>
    </row>
    <row r="38" spans="1:20" x14ac:dyDescent="0.3">
      <c r="A38">
        <v>180</v>
      </c>
      <c r="B38">
        <v>0</v>
      </c>
      <c r="C38">
        <v>-1.8140000000000001</v>
      </c>
      <c r="D38">
        <v>0</v>
      </c>
      <c r="E38">
        <v>-2.6861000000000002</v>
      </c>
      <c r="F38">
        <v>0</v>
      </c>
      <c r="G38">
        <v>-1.8976</v>
      </c>
      <c r="H38">
        <v>1.65016501650165E-3</v>
      </c>
      <c r="I38">
        <v>1.65016501650165E-3</v>
      </c>
      <c r="J38">
        <v>6.6006600660065999E-3</v>
      </c>
      <c r="K38">
        <v>5.0000000000000001E-3</v>
      </c>
      <c r="L38">
        <v>6.6499999999999997E-3</v>
      </c>
      <c r="M38">
        <v>5.0000000000000001E-3</v>
      </c>
      <c r="N38">
        <v>3601.5</v>
      </c>
      <c r="O38">
        <v>142.80000000000001</v>
      </c>
      <c r="Q38">
        <f t="shared" si="0"/>
        <v>0</v>
      </c>
      <c r="R38">
        <f t="shared" si="1"/>
        <v>-2.1325666666666665</v>
      </c>
      <c r="S38">
        <f t="shared" si="2"/>
        <v>3.3003300330032999E-3</v>
      </c>
      <c r="T38">
        <f t="shared" si="3"/>
        <v>5.5500000000000002E-3</v>
      </c>
    </row>
    <row r="39" spans="1:20" x14ac:dyDescent="0.3">
      <c r="A39">
        <v>185</v>
      </c>
      <c r="B39">
        <v>0</v>
      </c>
      <c r="C39">
        <v>-1.6679999999999999</v>
      </c>
      <c r="D39">
        <v>0</v>
      </c>
      <c r="E39">
        <v>-2.5994999999999999</v>
      </c>
      <c r="F39">
        <v>0</v>
      </c>
      <c r="G39">
        <v>-1.6685000000000001</v>
      </c>
      <c r="H39">
        <v>9.9009900990098994E-3</v>
      </c>
      <c r="I39">
        <v>3.3003300330032999E-3</v>
      </c>
      <c r="J39">
        <v>4.9504950495049497E-3</v>
      </c>
      <c r="K39">
        <v>6.6499999999999997E-3</v>
      </c>
      <c r="L39">
        <v>5.0000000000000001E-3</v>
      </c>
      <c r="M39">
        <v>5.0000000000000001E-3</v>
      </c>
      <c r="N39">
        <v>3744.6</v>
      </c>
      <c r="O39">
        <v>135.38999999999999</v>
      </c>
      <c r="Q39">
        <f t="shared" si="0"/>
        <v>0</v>
      </c>
      <c r="R39">
        <f t="shared" si="1"/>
        <v>-1.9786666666666666</v>
      </c>
      <c r="S39">
        <f t="shared" si="2"/>
        <v>6.0506050605060495E-3</v>
      </c>
      <c r="T39">
        <f t="shared" si="3"/>
        <v>5.5500000000000002E-3</v>
      </c>
    </row>
    <row r="40" spans="1:20" x14ac:dyDescent="0.3">
      <c r="A40">
        <v>190</v>
      </c>
      <c r="B40">
        <v>0</v>
      </c>
      <c r="C40">
        <v>-1.4139999999999999</v>
      </c>
      <c r="D40">
        <v>0</v>
      </c>
      <c r="E40">
        <v>-2.1798000000000002</v>
      </c>
      <c r="F40">
        <v>0</v>
      </c>
      <c r="G40">
        <v>-1.3652</v>
      </c>
      <c r="H40">
        <v>1.15511551155115E-2</v>
      </c>
      <c r="I40">
        <v>3.3003300330032999E-3</v>
      </c>
      <c r="J40">
        <v>8.2508250825082501E-3</v>
      </c>
      <c r="K40">
        <v>5.0000000000000001E-3</v>
      </c>
      <c r="L40">
        <v>5.0000000000000001E-3</v>
      </c>
      <c r="M40">
        <v>6.6499999999999997E-3</v>
      </c>
      <c r="N40">
        <v>3916.1</v>
      </c>
      <c r="O40">
        <v>160.78</v>
      </c>
      <c r="Q40">
        <f t="shared" si="0"/>
        <v>0</v>
      </c>
      <c r="R40">
        <f t="shared" si="1"/>
        <v>-1.6529999999999998</v>
      </c>
      <c r="S40">
        <f t="shared" si="2"/>
        <v>7.7007700770076832E-3</v>
      </c>
      <c r="T40">
        <f t="shared" si="3"/>
        <v>5.5499999999999994E-3</v>
      </c>
    </row>
    <row r="41" spans="1:20" x14ac:dyDescent="0.3">
      <c r="A41">
        <v>195</v>
      </c>
      <c r="B41">
        <v>0</v>
      </c>
      <c r="C41">
        <v>-1.2804</v>
      </c>
      <c r="D41">
        <v>0</v>
      </c>
      <c r="E41">
        <v>-2</v>
      </c>
      <c r="F41">
        <v>0</v>
      </c>
      <c r="G41">
        <v>-1.0884</v>
      </c>
      <c r="H41">
        <v>1.32013201320132E-2</v>
      </c>
      <c r="I41">
        <v>1.65016501650165E-3</v>
      </c>
      <c r="J41">
        <v>9.9009900990098994E-3</v>
      </c>
      <c r="K41">
        <v>6.6499999999999997E-3</v>
      </c>
      <c r="L41">
        <v>5.0000000000000001E-3</v>
      </c>
      <c r="M41">
        <v>6.6499999999999997E-3</v>
      </c>
      <c r="N41">
        <v>3817.5</v>
      </c>
      <c r="O41">
        <v>188.06</v>
      </c>
      <c r="Q41">
        <f t="shared" si="0"/>
        <v>0</v>
      </c>
      <c r="R41">
        <f t="shared" si="1"/>
        <v>-1.4562666666666668</v>
      </c>
      <c r="S41">
        <f t="shared" si="2"/>
        <v>8.2508250825082483E-3</v>
      </c>
      <c r="T41">
        <f t="shared" si="3"/>
        <v>6.1000000000000004E-3</v>
      </c>
    </row>
    <row r="42" spans="1:20" x14ac:dyDescent="0.3">
      <c r="A42">
        <v>200</v>
      </c>
      <c r="B42">
        <v>0.01</v>
      </c>
      <c r="C42">
        <v>-1.0682</v>
      </c>
      <c r="D42">
        <v>0</v>
      </c>
      <c r="E42">
        <v>-1.7706</v>
      </c>
      <c r="F42">
        <v>0</v>
      </c>
      <c r="G42">
        <v>-0.9839</v>
      </c>
      <c r="H42">
        <v>1.65016501650165E-2</v>
      </c>
      <c r="I42">
        <v>6.6006600660065999E-3</v>
      </c>
      <c r="J42">
        <v>1.32013201320132E-2</v>
      </c>
      <c r="K42">
        <v>1.3251000000000001E-2</v>
      </c>
      <c r="L42">
        <v>1.1601E-2</v>
      </c>
      <c r="M42">
        <v>9.9500000000000005E-3</v>
      </c>
      <c r="N42">
        <v>3863.2</v>
      </c>
      <c r="O42">
        <v>171.12</v>
      </c>
      <c r="Q42">
        <f t="shared" si="0"/>
        <v>3.3333333333333335E-3</v>
      </c>
      <c r="R42">
        <f t="shared" si="1"/>
        <v>-1.2742333333333333</v>
      </c>
      <c r="S42">
        <f t="shared" si="2"/>
        <v>1.2101210121012099E-2</v>
      </c>
      <c r="T42">
        <f t="shared" si="3"/>
        <v>1.1600666666666667E-2</v>
      </c>
    </row>
    <row r="43" spans="1:20" x14ac:dyDescent="0.3">
      <c r="A43">
        <v>205</v>
      </c>
      <c r="B43">
        <v>0.02</v>
      </c>
      <c r="C43">
        <v>-0.70979999999999999</v>
      </c>
      <c r="D43">
        <v>0.01</v>
      </c>
      <c r="E43">
        <v>-1.6512</v>
      </c>
      <c r="F43">
        <v>0.01</v>
      </c>
      <c r="G43">
        <v>-0.70979999999999999</v>
      </c>
      <c r="H43">
        <v>2.3102310231023101E-2</v>
      </c>
      <c r="I43">
        <v>4.9504950495049497E-3</v>
      </c>
      <c r="J43">
        <v>2.1452145214521399E-2</v>
      </c>
      <c r="K43">
        <v>9.9500000000000005E-3</v>
      </c>
      <c r="L43">
        <v>8.3000000000000001E-3</v>
      </c>
      <c r="M43">
        <v>9.9500000000000005E-3</v>
      </c>
      <c r="N43">
        <v>3912.9</v>
      </c>
      <c r="O43">
        <v>149.38999999999999</v>
      </c>
      <c r="Q43">
        <f t="shared" si="0"/>
        <v>1.3333333333333334E-2</v>
      </c>
      <c r="R43">
        <f t="shared" si="1"/>
        <v>-1.0235999999999998</v>
      </c>
      <c r="S43">
        <f t="shared" si="2"/>
        <v>1.6501650165016483E-2</v>
      </c>
      <c r="T43">
        <f t="shared" si="3"/>
        <v>9.4000000000000004E-3</v>
      </c>
    </row>
    <row r="44" spans="1:20" x14ac:dyDescent="0.3">
      <c r="A44">
        <v>210</v>
      </c>
      <c r="B44">
        <v>0.03</v>
      </c>
      <c r="C44">
        <v>-0.49530000000000002</v>
      </c>
      <c r="D44">
        <v>0.01</v>
      </c>
      <c r="E44">
        <v>-0.96109999999999995</v>
      </c>
      <c r="F44">
        <v>0.01</v>
      </c>
      <c r="G44">
        <v>-0.49530000000000002</v>
      </c>
      <c r="H44">
        <v>3.1353135313531302E-2</v>
      </c>
      <c r="I44">
        <v>1.32013201320132E-2</v>
      </c>
      <c r="J44">
        <v>2.9702970297029702E-2</v>
      </c>
      <c r="K44">
        <v>1.3251000000000001E-2</v>
      </c>
      <c r="L44">
        <v>8.3000000000000001E-3</v>
      </c>
      <c r="M44">
        <v>1.1601E-2</v>
      </c>
      <c r="N44">
        <v>4008.6</v>
      </c>
      <c r="O44">
        <v>139.44999999999999</v>
      </c>
      <c r="Q44">
        <f t="shared" si="0"/>
        <v>1.6666666666666666E-2</v>
      </c>
      <c r="R44">
        <f t="shared" si="1"/>
        <v>-0.65056666666666663</v>
      </c>
      <c r="S44">
        <f t="shared" si="2"/>
        <v>2.4752475247524736E-2</v>
      </c>
      <c r="T44">
        <f t="shared" si="3"/>
        <v>1.1050666666666667E-2</v>
      </c>
    </row>
    <row r="45" spans="1:20" x14ac:dyDescent="0.3">
      <c r="A45">
        <v>215</v>
      </c>
      <c r="B45">
        <v>0.04</v>
      </c>
      <c r="C45">
        <v>-0.37709999999999999</v>
      </c>
      <c r="D45">
        <v>0.01</v>
      </c>
      <c r="E45">
        <v>-0.74229999999999996</v>
      </c>
      <c r="F45">
        <v>0.05</v>
      </c>
      <c r="G45">
        <v>-6.2700000000000006E-2</v>
      </c>
      <c r="H45">
        <v>4.1254125412541198E-2</v>
      </c>
      <c r="I45">
        <v>1.8151815181518101E-2</v>
      </c>
      <c r="J45">
        <v>4.2904290429042903E-2</v>
      </c>
      <c r="K45">
        <v>1.6551E-2</v>
      </c>
      <c r="L45">
        <v>6.6499999999999997E-3</v>
      </c>
      <c r="M45">
        <v>1.8200999999999998E-2</v>
      </c>
      <c r="N45">
        <v>4155.3999999999996</v>
      </c>
      <c r="O45">
        <v>146.19</v>
      </c>
      <c r="Q45">
        <f t="shared" si="0"/>
        <v>3.3333333333333333E-2</v>
      </c>
      <c r="R45">
        <f t="shared" si="1"/>
        <v>-0.39403333333333329</v>
      </c>
      <c r="S45">
        <f t="shared" si="2"/>
        <v>3.410341034103407E-2</v>
      </c>
      <c r="T45">
        <f t="shared" si="3"/>
        <v>1.3800666666666664E-2</v>
      </c>
    </row>
    <row r="46" spans="1:20" x14ac:dyDescent="0.3">
      <c r="A46">
        <v>220</v>
      </c>
      <c r="B46">
        <v>0.05</v>
      </c>
      <c r="C46">
        <v>-3.2599999999999997E-2</v>
      </c>
      <c r="D46">
        <v>0.03</v>
      </c>
      <c r="E46">
        <v>-0.53500000000000003</v>
      </c>
      <c r="F46">
        <v>6.9000000000000006E-2</v>
      </c>
      <c r="G46">
        <v>4.4000000000000003E-3</v>
      </c>
      <c r="H46">
        <v>5.1155115511551101E-2</v>
      </c>
      <c r="I46">
        <v>2.3102310231023101E-2</v>
      </c>
      <c r="J46">
        <v>5.1155115511551101E-2</v>
      </c>
      <c r="K46">
        <v>1.6551E-2</v>
      </c>
      <c r="L46">
        <v>1.3251000000000001E-2</v>
      </c>
      <c r="M46">
        <v>1.9851000000000001E-2</v>
      </c>
      <c r="N46">
        <v>4318.5</v>
      </c>
      <c r="O46">
        <v>188.77</v>
      </c>
      <c r="Q46">
        <f t="shared" si="0"/>
        <v>4.9666666666666671E-2</v>
      </c>
      <c r="R46">
        <f t="shared" si="1"/>
        <v>-0.18773333333333334</v>
      </c>
      <c r="S46">
        <f t="shared" si="2"/>
        <v>4.1804180418041764E-2</v>
      </c>
      <c r="T46">
        <f t="shared" si="3"/>
        <v>1.6551E-2</v>
      </c>
    </row>
    <row r="47" spans="1:20" x14ac:dyDescent="0.3">
      <c r="A47">
        <v>225</v>
      </c>
      <c r="B47">
        <v>5.8999999999999997E-2</v>
      </c>
      <c r="C47">
        <v>2.0299999999999999E-2</v>
      </c>
      <c r="D47">
        <v>0.03</v>
      </c>
      <c r="E47">
        <v>-0.2092</v>
      </c>
      <c r="F47">
        <v>8.8999999999999996E-2</v>
      </c>
      <c r="G47">
        <v>2.6200000000000001E-2</v>
      </c>
      <c r="H47">
        <v>7.09570957095709E-2</v>
      </c>
      <c r="I47">
        <v>4.95049504950495E-2</v>
      </c>
      <c r="J47">
        <v>7.09570957095709E-2</v>
      </c>
      <c r="K47">
        <v>2.6452E-2</v>
      </c>
      <c r="L47">
        <v>2.1502E-2</v>
      </c>
      <c r="M47">
        <v>2.1502E-2</v>
      </c>
      <c r="N47">
        <v>4210</v>
      </c>
      <c r="O47">
        <v>209.5</v>
      </c>
      <c r="Q47">
        <f t="shared" si="0"/>
        <v>5.9333333333333328E-2</v>
      </c>
      <c r="R47">
        <f t="shared" si="1"/>
        <v>-5.4233333333333335E-2</v>
      </c>
      <c r="S47">
        <f t="shared" si="2"/>
        <v>6.3806380638063764E-2</v>
      </c>
      <c r="T47">
        <f t="shared" si="3"/>
        <v>2.3151999999999995E-2</v>
      </c>
    </row>
    <row r="48" spans="1:20" x14ac:dyDescent="0.3">
      <c r="A48">
        <v>230</v>
      </c>
      <c r="B48">
        <v>7.9000000000000001E-2</v>
      </c>
      <c r="C48">
        <v>4.6399999999999997E-2</v>
      </c>
      <c r="D48">
        <v>0.04</v>
      </c>
      <c r="E48">
        <v>-0.17710000000000001</v>
      </c>
      <c r="F48">
        <v>8.8999999999999996E-2</v>
      </c>
      <c r="G48">
        <v>5.5800000000000002E-2</v>
      </c>
      <c r="H48">
        <v>5.44554455445544E-2</v>
      </c>
      <c r="I48">
        <v>3.9603960396039598E-2</v>
      </c>
      <c r="J48">
        <v>7.9207920792079195E-2</v>
      </c>
      <c r="K48">
        <v>1.8200999999999998E-2</v>
      </c>
      <c r="L48">
        <v>8.3000000000000001E-3</v>
      </c>
      <c r="M48">
        <v>2.9752000000000001E-2</v>
      </c>
      <c r="N48">
        <v>4275.3999999999996</v>
      </c>
      <c r="O48">
        <v>201.31</v>
      </c>
      <c r="Q48">
        <f t="shared" si="0"/>
        <v>6.933333333333333E-2</v>
      </c>
      <c r="R48">
        <f t="shared" si="1"/>
        <v>-2.4966666666666668E-2</v>
      </c>
      <c r="S48">
        <f t="shared" si="2"/>
        <v>5.7755775577557733E-2</v>
      </c>
      <c r="T48">
        <f t="shared" si="3"/>
        <v>1.8751E-2</v>
      </c>
    </row>
    <row r="49" spans="1:20" x14ac:dyDescent="0.3">
      <c r="A49">
        <v>235</v>
      </c>
      <c r="B49">
        <v>7.9000000000000001E-2</v>
      </c>
      <c r="C49">
        <v>6.5100000000000005E-2</v>
      </c>
      <c r="D49">
        <v>6.9000000000000006E-2</v>
      </c>
      <c r="E49">
        <v>0.02</v>
      </c>
      <c r="F49">
        <v>9.9000000000000005E-2</v>
      </c>
      <c r="G49">
        <v>6.5100000000000005E-2</v>
      </c>
      <c r="H49">
        <v>8.9108910891089105E-2</v>
      </c>
      <c r="I49">
        <v>8.2508250825082494E-2</v>
      </c>
      <c r="J49">
        <v>9.0759075907590706E-2</v>
      </c>
      <c r="K49">
        <v>2.3151999999999999E-2</v>
      </c>
      <c r="L49">
        <v>1.9851000000000001E-2</v>
      </c>
      <c r="M49">
        <v>1.9851000000000001E-2</v>
      </c>
      <c r="N49">
        <v>4370.3999999999996</v>
      </c>
      <c r="O49">
        <v>182.03</v>
      </c>
      <c r="Q49">
        <f t="shared" si="0"/>
        <v>8.2333333333333342E-2</v>
      </c>
      <c r="R49">
        <f t="shared" si="1"/>
        <v>5.0066666666666669E-2</v>
      </c>
      <c r="S49">
        <f t="shared" si="2"/>
        <v>8.7458745874587421E-2</v>
      </c>
      <c r="T49">
        <f t="shared" si="3"/>
        <v>2.0951333333333332E-2</v>
      </c>
    </row>
    <row r="50" spans="1:20" x14ac:dyDescent="0.3">
      <c r="A50">
        <v>240</v>
      </c>
      <c r="B50">
        <v>8.8999999999999996E-2</v>
      </c>
      <c r="C50">
        <v>8.9300000000000004E-2</v>
      </c>
      <c r="D50">
        <v>0.11899999999999999</v>
      </c>
      <c r="E50">
        <v>6.5699999999999995E-2</v>
      </c>
      <c r="F50">
        <v>0.129</v>
      </c>
      <c r="G50">
        <v>0.127</v>
      </c>
      <c r="H50">
        <v>0.105610561056105</v>
      </c>
      <c r="I50">
        <v>0.1006600660066</v>
      </c>
      <c r="J50">
        <v>0.13531353135313501</v>
      </c>
      <c r="K50">
        <v>4.4603999999999998E-2</v>
      </c>
      <c r="L50">
        <v>2.8101999999999999E-2</v>
      </c>
      <c r="M50">
        <v>5.7805000000000002E-2</v>
      </c>
      <c r="N50">
        <v>4488.3999999999996</v>
      </c>
      <c r="O50">
        <v>173.44</v>
      </c>
      <c r="Q50">
        <f t="shared" si="0"/>
        <v>0.11233333333333333</v>
      </c>
      <c r="R50">
        <f t="shared" si="1"/>
        <v>9.4000000000000014E-2</v>
      </c>
      <c r="S50">
        <f t="shared" si="2"/>
        <v>0.11386138613861334</v>
      </c>
      <c r="T50">
        <f t="shared" si="3"/>
        <v>4.3503666666666663E-2</v>
      </c>
    </row>
    <row r="51" spans="1:20" x14ac:dyDescent="0.3">
      <c r="A51">
        <v>245</v>
      </c>
      <c r="B51">
        <v>0.129</v>
      </c>
      <c r="C51">
        <v>0.13500000000000001</v>
      </c>
      <c r="D51">
        <v>0.13900000000000001</v>
      </c>
      <c r="E51">
        <v>0.1124</v>
      </c>
      <c r="F51">
        <v>0.13900000000000001</v>
      </c>
      <c r="G51">
        <v>0.15570000000000001</v>
      </c>
      <c r="H51">
        <v>0.12046204620462</v>
      </c>
      <c r="I51">
        <v>0.133663366336633</v>
      </c>
      <c r="J51">
        <v>0.143564356435643</v>
      </c>
      <c r="K51">
        <v>3.1403E-2</v>
      </c>
      <c r="L51">
        <v>3.3052999999999999E-2</v>
      </c>
      <c r="M51">
        <v>5.2854999999999999E-2</v>
      </c>
      <c r="N51">
        <v>4638.2</v>
      </c>
      <c r="O51">
        <v>172.67</v>
      </c>
      <c r="Q51">
        <f t="shared" si="0"/>
        <v>0.13566666666666669</v>
      </c>
      <c r="R51">
        <f t="shared" si="1"/>
        <v>0.13436666666666666</v>
      </c>
      <c r="S51">
        <f t="shared" si="2"/>
        <v>0.13256325632563201</v>
      </c>
      <c r="T51">
        <f t="shared" si="3"/>
        <v>3.9103666666666669E-2</v>
      </c>
    </row>
    <row r="52" spans="1:20" x14ac:dyDescent="0.3">
      <c r="A52">
        <v>250</v>
      </c>
      <c r="B52">
        <v>0.188</v>
      </c>
      <c r="C52">
        <v>0.14230000000000001</v>
      </c>
      <c r="D52">
        <v>0.16800000000000001</v>
      </c>
      <c r="E52">
        <v>0.1089</v>
      </c>
      <c r="F52">
        <v>0.188</v>
      </c>
      <c r="G52">
        <v>0.16689999999999999</v>
      </c>
      <c r="H52">
        <v>0.16336633663366301</v>
      </c>
      <c r="I52">
        <v>0.16666666666666599</v>
      </c>
      <c r="J52">
        <v>0.16666666666666599</v>
      </c>
      <c r="K52">
        <v>6.7706000000000002E-2</v>
      </c>
      <c r="L52">
        <v>5.2854999999999999E-2</v>
      </c>
      <c r="M52">
        <v>5.2854999999999999E-2</v>
      </c>
      <c r="N52">
        <v>4798.7</v>
      </c>
      <c r="O52">
        <v>206.52</v>
      </c>
      <c r="Q52">
        <f t="shared" si="0"/>
        <v>0.18133333333333335</v>
      </c>
      <c r="R52">
        <f t="shared" si="1"/>
        <v>0.13936666666666667</v>
      </c>
      <c r="S52">
        <f t="shared" si="2"/>
        <v>0.165566556655665</v>
      </c>
      <c r="T52">
        <f t="shared" si="3"/>
        <v>5.7805333333333341E-2</v>
      </c>
    </row>
    <row r="53" spans="1:20" x14ac:dyDescent="0.3">
      <c r="A53">
        <v>255</v>
      </c>
      <c r="B53">
        <v>0.188</v>
      </c>
      <c r="C53">
        <v>0.1646</v>
      </c>
      <c r="D53">
        <v>0.188</v>
      </c>
      <c r="E53">
        <v>0.1467</v>
      </c>
      <c r="F53">
        <v>0.20799999999999999</v>
      </c>
      <c r="G53">
        <v>0.16489999999999999</v>
      </c>
      <c r="H53">
        <v>0.17656765676567601</v>
      </c>
      <c r="I53">
        <v>0.17986798679867899</v>
      </c>
      <c r="J53">
        <v>0.196369636963696</v>
      </c>
      <c r="K53">
        <v>6.1106000000000001E-2</v>
      </c>
      <c r="L53">
        <v>4.4603999999999998E-2</v>
      </c>
      <c r="M53">
        <v>5.4504999999999998E-2</v>
      </c>
      <c r="N53">
        <v>4685</v>
      </c>
      <c r="O53">
        <v>244</v>
      </c>
      <c r="Q53">
        <f t="shared" si="0"/>
        <v>0.19466666666666665</v>
      </c>
      <c r="R53">
        <f t="shared" si="1"/>
        <v>0.15873333333333334</v>
      </c>
      <c r="S53">
        <f t="shared" si="2"/>
        <v>0.18426842684268366</v>
      </c>
      <c r="T53">
        <f t="shared" si="3"/>
        <v>5.3405000000000001E-2</v>
      </c>
    </row>
    <row r="54" spans="1:20" x14ac:dyDescent="0.3">
      <c r="A54">
        <v>260</v>
      </c>
      <c r="B54">
        <v>0.218</v>
      </c>
      <c r="C54">
        <v>0.19500000000000001</v>
      </c>
      <c r="D54">
        <v>0.19800000000000001</v>
      </c>
      <c r="E54">
        <v>0.1651</v>
      </c>
      <c r="F54">
        <v>0.22800000000000001</v>
      </c>
      <c r="G54">
        <v>0.2114</v>
      </c>
      <c r="H54">
        <v>0.21617161716171601</v>
      </c>
      <c r="I54">
        <v>0.20462046204620399</v>
      </c>
      <c r="J54">
        <v>0.21947194719471899</v>
      </c>
      <c r="K54">
        <v>6.7706000000000002E-2</v>
      </c>
      <c r="L54">
        <v>4.9554000000000001E-2</v>
      </c>
      <c r="M54">
        <v>7.9256999999999994E-2</v>
      </c>
      <c r="N54">
        <v>4752.2</v>
      </c>
      <c r="O54">
        <v>221.47</v>
      </c>
      <c r="Q54">
        <f t="shared" si="0"/>
        <v>0.21466666666666667</v>
      </c>
      <c r="R54">
        <f t="shared" si="1"/>
        <v>0.1905</v>
      </c>
      <c r="S54">
        <f t="shared" si="2"/>
        <v>0.21342134213421302</v>
      </c>
      <c r="T54">
        <f t="shared" si="3"/>
        <v>6.550566666666667E-2</v>
      </c>
    </row>
    <row r="55" spans="1:20" x14ac:dyDescent="0.3">
      <c r="A55">
        <v>265</v>
      </c>
      <c r="B55">
        <v>0.25700000000000001</v>
      </c>
      <c r="C55">
        <v>0.22459999999999999</v>
      </c>
      <c r="D55">
        <v>0.23799999999999999</v>
      </c>
      <c r="E55">
        <v>0.22459999999999999</v>
      </c>
      <c r="F55">
        <v>0.26700000000000002</v>
      </c>
      <c r="G55">
        <v>0.252</v>
      </c>
      <c r="H55">
        <v>0.25082508250824997</v>
      </c>
      <c r="I55">
        <v>0.20297029702970201</v>
      </c>
      <c r="J55">
        <v>0.24092409240924001</v>
      </c>
      <c r="K55">
        <v>9.5758999999999997E-2</v>
      </c>
      <c r="L55">
        <v>7.5956999999999997E-2</v>
      </c>
      <c r="M55">
        <v>8.5858000000000004E-2</v>
      </c>
      <c r="N55">
        <v>4845.8999999999996</v>
      </c>
      <c r="O55">
        <v>214.83</v>
      </c>
      <c r="Q55">
        <f t="shared" si="0"/>
        <v>0.254</v>
      </c>
      <c r="R55">
        <f t="shared" si="1"/>
        <v>0.23373333333333335</v>
      </c>
      <c r="S55">
        <f t="shared" si="2"/>
        <v>0.23157315731573069</v>
      </c>
      <c r="T55">
        <f t="shared" si="3"/>
        <v>8.585799999999999E-2</v>
      </c>
    </row>
    <row r="56" spans="1:20" x14ac:dyDescent="0.3">
      <c r="A56">
        <v>270</v>
      </c>
      <c r="B56">
        <v>0.26700000000000002</v>
      </c>
      <c r="C56">
        <v>0.2261</v>
      </c>
      <c r="D56">
        <v>0.248</v>
      </c>
      <c r="E56">
        <v>0.21060000000000001</v>
      </c>
      <c r="F56">
        <v>0.27700000000000002</v>
      </c>
      <c r="G56">
        <v>0.25369999999999998</v>
      </c>
      <c r="H56">
        <v>0.25412541254125398</v>
      </c>
      <c r="I56">
        <v>0.23432343234323399</v>
      </c>
      <c r="J56">
        <v>0.27062706270627002</v>
      </c>
      <c r="K56">
        <v>9.4108999999999998E-2</v>
      </c>
      <c r="L56">
        <v>9.7408999999999996E-2</v>
      </c>
      <c r="M56">
        <v>0.10070999999999999</v>
      </c>
      <c r="N56">
        <v>4910.1000000000004</v>
      </c>
      <c r="O56">
        <v>153.44</v>
      </c>
      <c r="Q56">
        <f t="shared" si="0"/>
        <v>0.26400000000000001</v>
      </c>
      <c r="R56">
        <f t="shared" si="1"/>
        <v>0.2301333333333333</v>
      </c>
      <c r="S56">
        <f t="shared" si="2"/>
        <v>0.25302530253025268</v>
      </c>
      <c r="T56">
        <f t="shared" si="3"/>
        <v>9.7409333333333334E-2</v>
      </c>
    </row>
    <row r="57" spans="1:20" x14ac:dyDescent="0.3">
      <c r="A57">
        <v>275</v>
      </c>
      <c r="B57">
        <v>0.307</v>
      </c>
      <c r="C57">
        <v>0.26169999999999999</v>
      </c>
      <c r="D57">
        <v>0.27700000000000002</v>
      </c>
      <c r="E57">
        <v>0.25690000000000002</v>
      </c>
      <c r="F57">
        <v>0.28699999999999998</v>
      </c>
      <c r="G57">
        <v>0.29449999999999998</v>
      </c>
      <c r="H57">
        <v>0.28052805280527998</v>
      </c>
      <c r="I57">
        <v>0.262376237623762</v>
      </c>
      <c r="J57">
        <v>0.29537953795379501</v>
      </c>
      <c r="K57">
        <v>0.10896</v>
      </c>
      <c r="L57">
        <v>9.5758999999999997E-2</v>
      </c>
      <c r="M57">
        <v>0.113911</v>
      </c>
      <c r="N57">
        <v>1304.2</v>
      </c>
      <c r="O57">
        <v>163.59</v>
      </c>
      <c r="Q57">
        <f t="shared" si="0"/>
        <v>0.29033333333333333</v>
      </c>
      <c r="R57">
        <f t="shared" si="1"/>
        <v>0.27103333333333329</v>
      </c>
      <c r="S57">
        <f t="shared" si="2"/>
        <v>0.27942794279427902</v>
      </c>
      <c r="T57">
        <f t="shared" si="3"/>
        <v>0.10620999999999998</v>
      </c>
    </row>
    <row r="58" spans="1:20" x14ac:dyDescent="0.3">
      <c r="A58">
        <v>280</v>
      </c>
      <c r="B58">
        <v>0.317</v>
      </c>
      <c r="C58">
        <v>0.29630000000000001</v>
      </c>
      <c r="D58">
        <v>0.29699999999999999</v>
      </c>
      <c r="E58">
        <v>0.29630000000000001</v>
      </c>
      <c r="F58">
        <v>0.32700000000000001</v>
      </c>
      <c r="G58">
        <v>0.2984</v>
      </c>
      <c r="H58">
        <v>0.31188118811881099</v>
      </c>
      <c r="I58">
        <v>0.28382838283828299</v>
      </c>
      <c r="J58">
        <v>0.30528052805280498</v>
      </c>
      <c r="K58">
        <v>9.0809000000000001E-2</v>
      </c>
      <c r="L58">
        <v>9.7408999999999996E-2</v>
      </c>
      <c r="M58">
        <v>0.10566</v>
      </c>
      <c r="N58">
        <v>1348.5</v>
      </c>
      <c r="O58">
        <v>164.09</v>
      </c>
      <c r="Q58">
        <f t="shared" si="0"/>
        <v>0.3136666666666667</v>
      </c>
      <c r="R58">
        <f t="shared" si="1"/>
        <v>0.29699999999999999</v>
      </c>
      <c r="S58">
        <f t="shared" si="2"/>
        <v>0.30033003300329963</v>
      </c>
      <c r="T58">
        <f t="shared" si="3"/>
        <v>9.7959333333333329E-2</v>
      </c>
    </row>
    <row r="59" spans="1:20" x14ac:dyDescent="0.3">
      <c r="A59">
        <v>285</v>
      </c>
      <c r="B59">
        <v>0.33700000000000002</v>
      </c>
      <c r="C59">
        <v>0.35239999999999999</v>
      </c>
      <c r="D59">
        <v>0.32700000000000001</v>
      </c>
      <c r="E59">
        <v>0.71</v>
      </c>
      <c r="F59">
        <v>0.35599999999999998</v>
      </c>
      <c r="G59">
        <v>0.35859999999999997</v>
      </c>
      <c r="H59">
        <v>0.33828382838283799</v>
      </c>
      <c r="I59">
        <v>0.30858085808580799</v>
      </c>
      <c r="J59">
        <v>0.341584158415841</v>
      </c>
      <c r="K59">
        <v>0.10566</v>
      </c>
      <c r="L59">
        <v>0.117211</v>
      </c>
      <c r="M59">
        <v>0.12876199999999999</v>
      </c>
      <c r="N59">
        <v>4279.2</v>
      </c>
      <c r="O59">
        <v>195.14</v>
      </c>
      <c r="Q59">
        <f t="shared" si="0"/>
        <v>0.34</v>
      </c>
      <c r="R59">
        <f t="shared" si="1"/>
        <v>0.47366666666666668</v>
      </c>
      <c r="S59">
        <f t="shared" si="2"/>
        <v>0.32948294829482899</v>
      </c>
      <c r="T59">
        <f t="shared" si="3"/>
        <v>0.117211</v>
      </c>
    </row>
    <row r="60" spans="1:20" x14ac:dyDescent="0.3">
      <c r="A60">
        <v>290</v>
      </c>
      <c r="B60">
        <v>0.35599999999999998</v>
      </c>
      <c r="C60">
        <v>0.36370000000000002</v>
      </c>
      <c r="D60">
        <v>0.34699999999999998</v>
      </c>
      <c r="E60">
        <v>0.37790000000000001</v>
      </c>
      <c r="F60">
        <v>0.41599999999999998</v>
      </c>
      <c r="G60">
        <v>0.36969999999999997</v>
      </c>
      <c r="H60">
        <v>0.35808580858085798</v>
      </c>
      <c r="I60">
        <v>0.343234323432343</v>
      </c>
      <c r="J60">
        <v>0.394389438943894</v>
      </c>
      <c r="K60">
        <v>0.13536300000000001</v>
      </c>
      <c r="L60">
        <v>0.14361399999999999</v>
      </c>
      <c r="M60">
        <v>0.148564</v>
      </c>
      <c r="N60">
        <v>4344.8999999999996</v>
      </c>
      <c r="O60">
        <v>266.8</v>
      </c>
      <c r="Q60">
        <f t="shared" si="0"/>
        <v>0.373</v>
      </c>
      <c r="R60">
        <f t="shared" si="1"/>
        <v>0.37043333333333334</v>
      </c>
      <c r="S60">
        <f t="shared" si="2"/>
        <v>0.36523652365236497</v>
      </c>
      <c r="T60">
        <f t="shared" si="3"/>
        <v>0.14251366666666668</v>
      </c>
    </row>
    <row r="61" spans="1:20" x14ac:dyDescent="0.3">
      <c r="A61">
        <v>295</v>
      </c>
      <c r="B61">
        <v>0.376</v>
      </c>
      <c r="C61">
        <v>0.4052</v>
      </c>
      <c r="D61">
        <v>0.376</v>
      </c>
      <c r="E61">
        <v>0.41139999999999999</v>
      </c>
      <c r="F61">
        <v>0.44600000000000001</v>
      </c>
      <c r="G61">
        <v>0.39119999999999999</v>
      </c>
      <c r="H61">
        <v>0.369636963696369</v>
      </c>
      <c r="I61">
        <v>0.35808580858085798</v>
      </c>
      <c r="J61">
        <v>0.43564356435643498</v>
      </c>
      <c r="K61">
        <v>0.145264</v>
      </c>
      <c r="L61">
        <v>0.15351500000000001</v>
      </c>
      <c r="M61">
        <v>0.17496700000000001</v>
      </c>
      <c r="N61">
        <v>4449.7</v>
      </c>
      <c r="O61">
        <v>250.09</v>
      </c>
      <c r="Q61">
        <f t="shared" si="0"/>
        <v>0.39933333333333332</v>
      </c>
      <c r="R61">
        <f t="shared" si="1"/>
        <v>0.40260000000000001</v>
      </c>
      <c r="S61">
        <f t="shared" si="2"/>
        <v>0.38778877887788732</v>
      </c>
      <c r="T61">
        <f t="shared" si="3"/>
        <v>0.15791533333333332</v>
      </c>
    </row>
    <row r="62" spans="1:20" x14ac:dyDescent="0.3">
      <c r="A62">
        <v>300</v>
      </c>
      <c r="B62">
        <v>0.38600000000000001</v>
      </c>
      <c r="C62">
        <v>0.39360000000000001</v>
      </c>
      <c r="D62">
        <v>0.40600000000000003</v>
      </c>
      <c r="E62">
        <v>0.43030000000000002</v>
      </c>
      <c r="F62">
        <v>0.45500000000000002</v>
      </c>
      <c r="G62">
        <v>0.42009999999999997</v>
      </c>
      <c r="H62">
        <v>0.37953795379537902</v>
      </c>
      <c r="I62">
        <v>0.37623762376237602</v>
      </c>
      <c r="J62">
        <v>0.447194719471947</v>
      </c>
      <c r="K62">
        <v>0.15021499999999999</v>
      </c>
      <c r="L62">
        <v>0.15681500000000001</v>
      </c>
      <c r="M62">
        <v>0.18156800000000001</v>
      </c>
      <c r="N62">
        <v>4570.3999999999996</v>
      </c>
      <c r="O62">
        <v>225.75</v>
      </c>
      <c r="Q62">
        <f t="shared" si="0"/>
        <v>0.41566666666666668</v>
      </c>
      <c r="R62">
        <f t="shared" si="1"/>
        <v>0.41466666666666668</v>
      </c>
      <c r="S62">
        <f t="shared" si="2"/>
        <v>0.40099009900990068</v>
      </c>
      <c r="T62">
        <f t="shared" si="3"/>
        <v>0.16286600000000001</v>
      </c>
    </row>
    <row r="63" spans="1:20" x14ac:dyDescent="0.3">
      <c r="A63">
        <v>305</v>
      </c>
      <c r="B63">
        <v>0.39600000000000002</v>
      </c>
      <c r="C63">
        <v>0.4017</v>
      </c>
      <c r="D63">
        <v>0.42599999999999999</v>
      </c>
      <c r="E63">
        <v>0.43890000000000001</v>
      </c>
      <c r="F63">
        <v>0.47499999999999998</v>
      </c>
      <c r="G63">
        <v>0.43890000000000001</v>
      </c>
      <c r="H63">
        <v>0.392739273927392</v>
      </c>
      <c r="I63">
        <v>0.43234323432343202</v>
      </c>
      <c r="J63">
        <v>0.46534653465346498</v>
      </c>
      <c r="K63">
        <v>0.21787100000000001</v>
      </c>
      <c r="L63">
        <v>0.18156800000000001</v>
      </c>
      <c r="M63">
        <v>0.198069</v>
      </c>
      <c r="N63">
        <v>4714.8999999999996</v>
      </c>
      <c r="O63">
        <v>204.41</v>
      </c>
      <c r="Q63">
        <f t="shared" si="0"/>
        <v>0.4323333333333334</v>
      </c>
      <c r="R63">
        <f t="shared" si="1"/>
        <v>0.42650000000000005</v>
      </c>
      <c r="S63">
        <f t="shared" si="2"/>
        <v>0.4301430143014297</v>
      </c>
      <c r="T63">
        <f t="shared" si="3"/>
        <v>0.19916933333333331</v>
      </c>
    </row>
    <row r="64" spans="1:20" x14ac:dyDescent="0.3">
      <c r="A64">
        <v>310</v>
      </c>
      <c r="B64">
        <v>0.41599999999999998</v>
      </c>
      <c r="C64">
        <v>0.41310000000000002</v>
      </c>
      <c r="D64">
        <v>0.47499999999999998</v>
      </c>
      <c r="E64">
        <v>0.4501</v>
      </c>
      <c r="F64">
        <v>0.505</v>
      </c>
      <c r="G64">
        <v>0.44190000000000002</v>
      </c>
      <c r="H64">
        <v>0.41584158415841499</v>
      </c>
      <c r="I64">
        <v>0.445544554455445</v>
      </c>
      <c r="J64">
        <v>0.48679867986798597</v>
      </c>
      <c r="K64">
        <v>0.13866300000000001</v>
      </c>
      <c r="L64">
        <v>0.16011600000000001</v>
      </c>
      <c r="M64">
        <v>0.184868</v>
      </c>
      <c r="N64">
        <v>4907.7</v>
      </c>
      <c r="O64">
        <v>570.03</v>
      </c>
      <c r="Q64">
        <f t="shared" si="0"/>
        <v>0.46533333333333332</v>
      </c>
      <c r="R64">
        <f t="shared" si="1"/>
        <v>0.43503333333333333</v>
      </c>
      <c r="S64">
        <f t="shared" si="2"/>
        <v>0.44939493949394865</v>
      </c>
      <c r="T64">
        <f t="shared" si="3"/>
        <v>0.16121566666666667</v>
      </c>
    </row>
    <row r="65" spans="1:20" x14ac:dyDescent="0.3">
      <c r="A65">
        <v>315</v>
      </c>
      <c r="B65">
        <v>0.45500000000000002</v>
      </c>
      <c r="C65">
        <v>0.48070000000000002</v>
      </c>
      <c r="D65">
        <v>0.505</v>
      </c>
      <c r="E65">
        <v>0.48980000000000001</v>
      </c>
      <c r="F65">
        <v>0.51500000000000001</v>
      </c>
      <c r="G65">
        <v>0.48080000000000001</v>
      </c>
      <c r="H65">
        <v>0.447194719471947</v>
      </c>
      <c r="I65">
        <v>0.48019801980198001</v>
      </c>
      <c r="J65">
        <v>0.50165016501650095</v>
      </c>
      <c r="K65">
        <v>0.184868</v>
      </c>
      <c r="L65">
        <v>0.16836599999999999</v>
      </c>
      <c r="M65">
        <v>0.20796999999999999</v>
      </c>
      <c r="N65">
        <v>5100.5</v>
      </c>
      <c r="O65">
        <v>818.87</v>
      </c>
      <c r="Q65">
        <f t="shared" si="0"/>
        <v>0.4916666666666667</v>
      </c>
      <c r="R65">
        <f t="shared" si="1"/>
        <v>0.48376666666666668</v>
      </c>
      <c r="S65">
        <f t="shared" si="2"/>
        <v>0.47634763476347591</v>
      </c>
      <c r="T65">
        <f t="shared" si="3"/>
        <v>0.18706800000000001</v>
      </c>
    </row>
    <row r="66" spans="1:20" x14ac:dyDescent="0.3">
      <c r="A66">
        <v>320</v>
      </c>
      <c r="B66">
        <v>0.47499999999999998</v>
      </c>
      <c r="C66">
        <v>0.4945</v>
      </c>
      <c r="D66">
        <v>0.51500000000000001</v>
      </c>
      <c r="E66">
        <v>0.51859999999999995</v>
      </c>
      <c r="F66">
        <v>0.52500000000000002</v>
      </c>
      <c r="G66">
        <v>0.4945</v>
      </c>
      <c r="H66">
        <v>0.45214521452145201</v>
      </c>
      <c r="I66">
        <v>0.50495049504950495</v>
      </c>
      <c r="J66">
        <v>0.528052805280528</v>
      </c>
      <c r="K66">
        <v>0.18156800000000001</v>
      </c>
      <c r="L66">
        <v>0.227772</v>
      </c>
      <c r="M66">
        <v>0.22612199999999999</v>
      </c>
      <c r="N66">
        <v>5016.8999999999996</v>
      </c>
      <c r="O66">
        <v>299.44</v>
      </c>
      <c r="Q66">
        <f t="shared" si="0"/>
        <v>0.505</v>
      </c>
      <c r="R66">
        <f t="shared" si="1"/>
        <v>0.50253333333333328</v>
      </c>
      <c r="S66">
        <f t="shared" si="2"/>
        <v>0.49504950495049499</v>
      </c>
      <c r="T66">
        <f t="shared" si="3"/>
        <v>0.21182066666666666</v>
      </c>
    </row>
    <row r="67" spans="1:20" x14ac:dyDescent="0.3">
      <c r="A67">
        <v>325</v>
      </c>
      <c r="B67">
        <v>0.495</v>
      </c>
      <c r="C67">
        <v>0.52280000000000004</v>
      </c>
      <c r="D67">
        <v>0.53500000000000003</v>
      </c>
      <c r="E67">
        <v>0.53820000000000001</v>
      </c>
      <c r="F67">
        <v>0.55400000000000005</v>
      </c>
      <c r="G67">
        <v>0.53380000000000005</v>
      </c>
      <c r="H67">
        <v>0.48514851485148502</v>
      </c>
      <c r="I67">
        <v>0.52145214521452099</v>
      </c>
      <c r="J67">
        <v>0.53300330033003296</v>
      </c>
      <c r="K67">
        <v>0.277277</v>
      </c>
      <c r="L67">
        <v>0.23932300000000001</v>
      </c>
      <c r="M67">
        <v>0.25417499999999998</v>
      </c>
      <c r="N67">
        <v>5161</v>
      </c>
      <c r="O67">
        <v>261.25</v>
      </c>
      <c r="Q67">
        <f t="shared" si="0"/>
        <v>0.52800000000000002</v>
      </c>
      <c r="R67">
        <f t="shared" si="1"/>
        <v>0.53159999999999996</v>
      </c>
      <c r="S67">
        <f t="shared" si="2"/>
        <v>0.51320132013201303</v>
      </c>
      <c r="T67">
        <f t="shared" si="3"/>
        <v>0.25692500000000001</v>
      </c>
    </row>
    <row r="68" spans="1:20" x14ac:dyDescent="0.3">
      <c r="A68">
        <v>330</v>
      </c>
      <c r="B68">
        <v>0.51500000000000001</v>
      </c>
      <c r="C68">
        <v>0.54010000000000002</v>
      </c>
      <c r="D68">
        <v>0.57399999999999995</v>
      </c>
      <c r="E68">
        <v>0.53539999999999999</v>
      </c>
      <c r="F68">
        <v>0.56399999999999995</v>
      </c>
      <c r="G68">
        <v>0.52669999999999995</v>
      </c>
      <c r="H68">
        <v>0.50660066006600601</v>
      </c>
      <c r="I68">
        <v>0.56270627062706202</v>
      </c>
      <c r="J68">
        <v>0.55775577557755696</v>
      </c>
      <c r="K68">
        <v>0.267376</v>
      </c>
      <c r="L68">
        <v>0.28387800000000002</v>
      </c>
      <c r="M68">
        <v>0.29377900000000001</v>
      </c>
      <c r="N68">
        <v>5307.2</v>
      </c>
      <c r="O68">
        <v>222.19</v>
      </c>
      <c r="Q68">
        <f t="shared" si="0"/>
        <v>0.55100000000000005</v>
      </c>
      <c r="R68">
        <f t="shared" si="1"/>
        <v>0.53406666666666658</v>
      </c>
      <c r="S68">
        <f t="shared" si="2"/>
        <v>0.54235423542354166</v>
      </c>
      <c r="T68">
        <f t="shared" si="3"/>
        <v>0.28167766666666666</v>
      </c>
    </row>
    <row r="69" spans="1:20" x14ac:dyDescent="0.3">
      <c r="A69">
        <v>335</v>
      </c>
      <c r="B69">
        <v>0.52500000000000002</v>
      </c>
      <c r="C69">
        <v>0.58460000000000001</v>
      </c>
      <c r="D69">
        <v>0.58399999999999996</v>
      </c>
      <c r="E69">
        <v>0.5766</v>
      </c>
      <c r="F69">
        <v>0.58399999999999996</v>
      </c>
      <c r="G69">
        <v>0.2397</v>
      </c>
      <c r="H69">
        <v>0.51485148514851398</v>
      </c>
      <c r="I69">
        <v>0.577557755775577</v>
      </c>
      <c r="J69">
        <v>0.57920792079207895</v>
      </c>
      <c r="K69">
        <v>0.249224</v>
      </c>
      <c r="L69">
        <v>0.23272300000000001</v>
      </c>
      <c r="M69">
        <v>0.25747500000000001</v>
      </c>
      <c r="N69">
        <v>5457.4</v>
      </c>
      <c r="O69">
        <v>231.12</v>
      </c>
      <c r="Q69">
        <f t="shared" ref="Q69:Q78" si="4">AVERAGE(B69,D69,F69)</f>
        <v>0.56433333333333335</v>
      </c>
      <c r="R69">
        <f t="shared" ref="R69:R78" si="5">AVERAGE(C69,E69,G69)</f>
        <v>0.4669666666666667</v>
      </c>
      <c r="S69">
        <f t="shared" ref="S69:S78" si="6">AVERAGE(H69:J69)</f>
        <v>0.55720572057205653</v>
      </c>
      <c r="T69">
        <f t="shared" ref="T69:T78" si="7">AVERAGE(K69:M69)</f>
        <v>0.246474</v>
      </c>
    </row>
    <row r="70" spans="1:20" x14ac:dyDescent="0.3">
      <c r="A70">
        <v>340</v>
      </c>
      <c r="B70">
        <v>0.56399999999999995</v>
      </c>
      <c r="C70">
        <v>0.24759999999999999</v>
      </c>
      <c r="D70">
        <v>0.60399999999999998</v>
      </c>
      <c r="E70">
        <v>0.25080000000000002</v>
      </c>
      <c r="F70">
        <v>0.58399999999999996</v>
      </c>
      <c r="G70">
        <v>0.58140000000000003</v>
      </c>
      <c r="H70">
        <v>0.54290429042904298</v>
      </c>
      <c r="I70">
        <v>0.59735973597359704</v>
      </c>
      <c r="J70">
        <v>0.57920792079207895</v>
      </c>
      <c r="K70">
        <v>0.313581</v>
      </c>
      <c r="L70">
        <v>0.313581</v>
      </c>
      <c r="M70">
        <v>0.31193100000000001</v>
      </c>
      <c r="N70">
        <v>5620.1</v>
      </c>
      <c r="O70">
        <v>216.36</v>
      </c>
      <c r="Q70">
        <f t="shared" si="4"/>
        <v>0.58399999999999996</v>
      </c>
      <c r="R70">
        <f t="shared" si="5"/>
        <v>0.35993333333333338</v>
      </c>
      <c r="S70">
        <f t="shared" si="6"/>
        <v>0.57315731573157302</v>
      </c>
      <c r="T70">
        <f t="shared" si="7"/>
        <v>0.313031</v>
      </c>
    </row>
    <row r="71" spans="1:20" x14ac:dyDescent="0.3">
      <c r="A71">
        <v>345</v>
      </c>
      <c r="B71">
        <v>0.56399999999999995</v>
      </c>
      <c r="C71">
        <v>0.62409999999999999</v>
      </c>
      <c r="D71">
        <v>0.61399999999999999</v>
      </c>
      <c r="E71">
        <v>0.62639999999999996</v>
      </c>
      <c r="F71">
        <v>0.58399999999999996</v>
      </c>
      <c r="G71">
        <v>0.6552</v>
      </c>
      <c r="H71">
        <v>0.54455445544554404</v>
      </c>
      <c r="I71">
        <v>0.59735973597359704</v>
      </c>
      <c r="J71">
        <v>0.58415841584158401</v>
      </c>
      <c r="K71">
        <v>0.277277</v>
      </c>
      <c r="L71">
        <v>0.25747500000000001</v>
      </c>
      <c r="M71">
        <v>0.30037999999999998</v>
      </c>
      <c r="N71">
        <v>5808.1</v>
      </c>
      <c r="O71">
        <v>201.2</v>
      </c>
      <c r="Q71">
        <f t="shared" si="4"/>
        <v>0.58733333333333337</v>
      </c>
      <c r="R71">
        <f t="shared" si="5"/>
        <v>0.63523333333333332</v>
      </c>
      <c r="S71">
        <f t="shared" si="6"/>
        <v>0.57535753575357507</v>
      </c>
      <c r="T71">
        <f t="shared" si="7"/>
        <v>0.27837733333333331</v>
      </c>
    </row>
    <row r="72" spans="1:20" x14ac:dyDescent="0.3">
      <c r="A72">
        <v>350</v>
      </c>
      <c r="B72">
        <v>0.58399999999999996</v>
      </c>
      <c r="C72">
        <v>0.65910000000000002</v>
      </c>
      <c r="D72">
        <v>0.63400000000000001</v>
      </c>
      <c r="E72">
        <v>0.63780000000000003</v>
      </c>
      <c r="F72">
        <v>0.58399999999999996</v>
      </c>
      <c r="G72">
        <v>0.65469999999999995</v>
      </c>
      <c r="H72">
        <v>0.577557755775577</v>
      </c>
      <c r="I72">
        <v>0.63036303630363</v>
      </c>
      <c r="J72">
        <v>0.58415841584158401</v>
      </c>
      <c r="K72">
        <v>0.29872900000000002</v>
      </c>
      <c r="L72">
        <v>0.32348199999999999</v>
      </c>
      <c r="M72">
        <v>0.328432</v>
      </c>
      <c r="N72">
        <v>6011.9</v>
      </c>
      <c r="O72">
        <v>196.37</v>
      </c>
      <c r="Q72">
        <f t="shared" si="4"/>
        <v>0.60066666666666668</v>
      </c>
      <c r="R72">
        <f t="shared" si="5"/>
        <v>0.6505333333333333</v>
      </c>
      <c r="S72">
        <f t="shared" si="6"/>
        <v>0.59735973597359704</v>
      </c>
      <c r="T72">
        <f t="shared" si="7"/>
        <v>0.31688100000000002</v>
      </c>
    </row>
    <row r="73" spans="1:20" x14ac:dyDescent="0.3">
      <c r="A73">
        <v>355</v>
      </c>
      <c r="B73">
        <v>0.60399999999999998</v>
      </c>
      <c r="C73">
        <v>0.70050000000000001</v>
      </c>
      <c r="D73">
        <v>0.64400000000000002</v>
      </c>
      <c r="E73">
        <v>0.6492</v>
      </c>
      <c r="F73">
        <v>0.63400000000000001</v>
      </c>
      <c r="G73">
        <v>0.70069999999999999</v>
      </c>
      <c r="H73">
        <v>0.57920792079207895</v>
      </c>
      <c r="I73">
        <v>0.63201320132013195</v>
      </c>
      <c r="J73">
        <v>0.62706270627062699</v>
      </c>
      <c r="K73">
        <v>0.34988399999999997</v>
      </c>
      <c r="L73">
        <v>0.331733</v>
      </c>
      <c r="M73">
        <v>0.34493400000000002</v>
      </c>
      <c r="N73">
        <v>6170.5</v>
      </c>
      <c r="O73">
        <v>312.92</v>
      </c>
      <c r="Q73">
        <f t="shared" si="4"/>
        <v>0.62733333333333341</v>
      </c>
      <c r="R73">
        <f t="shared" si="5"/>
        <v>0.68346666666666656</v>
      </c>
      <c r="S73">
        <f t="shared" si="6"/>
        <v>0.61276127612761266</v>
      </c>
      <c r="T73">
        <f t="shared" si="7"/>
        <v>0.34218366666666666</v>
      </c>
    </row>
    <row r="74" spans="1:20" x14ac:dyDescent="0.3">
      <c r="A74">
        <v>360</v>
      </c>
      <c r="B74">
        <v>0.624</v>
      </c>
      <c r="C74">
        <v>0.71450000000000002</v>
      </c>
      <c r="D74">
        <v>0.64400000000000002</v>
      </c>
      <c r="E74">
        <v>0.68759999999999999</v>
      </c>
      <c r="F74">
        <v>0.63400000000000001</v>
      </c>
      <c r="G74">
        <v>0.7641</v>
      </c>
      <c r="H74">
        <v>0.59570957095709498</v>
      </c>
      <c r="I74">
        <v>0.63531353135313495</v>
      </c>
      <c r="J74">
        <v>0.62706270627062699</v>
      </c>
      <c r="K74">
        <v>0.34493400000000002</v>
      </c>
      <c r="L74">
        <v>0.364736</v>
      </c>
      <c r="M74">
        <v>0.33998299999999998</v>
      </c>
      <c r="N74">
        <v>5951.2</v>
      </c>
      <c r="O74">
        <v>363.09</v>
      </c>
      <c r="Q74">
        <f t="shared" si="4"/>
        <v>0.63400000000000001</v>
      </c>
      <c r="R74">
        <f t="shared" si="5"/>
        <v>0.72206666666666663</v>
      </c>
      <c r="S74">
        <f t="shared" si="6"/>
        <v>0.61936193619361901</v>
      </c>
      <c r="T74">
        <f t="shared" si="7"/>
        <v>0.3498843333333333</v>
      </c>
    </row>
    <row r="75" spans="1:20" x14ac:dyDescent="0.3">
      <c r="A75">
        <v>365</v>
      </c>
      <c r="B75">
        <v>0.66300000000000003</v>
      </c>
      <c r="C75">
        <v>0.30969999999999998</v>
      </c>
      <c r="D75">
        <v>0.66300000000000003</v>
      </c>
      <c r="E75">
        <v>0.74229999999999996</v>
      </c>
      <c r="F75">
        <v>0.66300000000000003</v>
      </c>
      <c r="G75">
        <v>0.72789999999999999</v>
      </c>
      <c r="H75">
        <v>0.64521452145214497</v>
      </c>
      <c r="I75">
        <v>0.66336633663366296</v>
      </c>
      <c r="J75">
        <v>0.65346534653465305</v>
      </c>
      <c r="K75">
        <v>0.38123800000000002</v>
      </c>
      <c r="L75">
        <v>0.40764</v>
      </c>
      <c r="M75">
        <v>0.40268999999999999</v>
      </c>
      <c r="N75">
        <v>6062.8</v>
      </c>
      <c r="O75">
        <v>346.84</v>
      </c>
      <c r="Q75">
        <f t="shared" si="4"/>
        <v>0.66300000000000003</v>
      </c>
      <c r="R75">
        <f t="shared" si="5"/>
        <v>0.59330000000000005</v>
      </c>
      <c r="S75">
        <f t="shared" si="6"/>
        <v>0.6540154015401537</v>
      </c>
      <c r="T75">
        <f t="shared" si="7"/>
        <v>0.39718933333333334</v>
      </c>
    </row>
    <row r="76" spans="1:20" x14ac:dyDescent="0.3">
      <c r="A76">
        <v>370</v>
      </c>
      <c r="B76">
        <v>0.66300000000000003</v>
      </c>
      <c r="C76">
        <v>0.74609999999999999</v>
      </c>
      <c r="D76">
        <v>0.67300000000000004</v>
      </c>
      <c r="E76">
        <v>0.7681</v>
      </c>
      <c r="F76">
        <v>0.69299999999999995</v>
      </c>
      <c r="G76">
        <v>0.75600000000000001</v>
      </c>
      <c r="H76">
        <v>0.65016501650165004</v>
      </c>
      <c r="I76">
        <v>0.66666666666666596</v>
      </c>
      <c r="J76">
        <v>0.67656765676567598</v>
      </c>
      <c r="K76">
        <v>0.35153499999999999</v>
      </c>
      <c r="L76">
        <v>0.36143599999999998</v>
      </c>
      <c r="M76">
        <v>0.37958700000000001</v>
      </c>
      <c r="N76">
        <v>6204.4</v>
      </c>
      <c r="O76">
        <v>326.69</v>
      </c>
      <c r="Q76">
        <f t="shared" si="4"/>
        <v>0.67633333333333334</v>
      </c>
      <c r="R76">
        <f t="shared" si="5"/>
        <v>0.75673333333333337</v>
      </c>
      <c r="S76">
        <f t="shared" si="6"/>
        <v>0.66446644664466403</v>
      </c>
      <c r="T76">
        <f t="shared" si="7"/>
        <v>0.36418599999999995</v>
      </c>
    </row>
    <row r="77" spans="1:20" x14ac:dyDescent="0.3">
      <c r="A77">
        <v>375</v>
      </c>
      <c r="B77">
        <v>0.67300000000000004</v>
      </c>
      <c r="C77">
        <v>0.76880000000000004</v>
      </c>
      <c r="D77">
        <v>0.68300000000000005</v>
      </c>
      <c r="E77">
        <v>0.80689999999999995</v>
      </c>
      <c r="F77">
        <v>0.70299999999999996</v>
      </c>
      <c r="G77">
        <v>0.77729999999999999</v>
      </c>
      <c r="H77">
        <v>0.66501650165016502</v>
      </c>
      <c r="I77">
        <v>0.66996699669966997</v>
      </c>
      <c r="J77">
        <v>0.69471947194719397</v>
      </c>
      <c r="K77">
        <v>0.417541</v>
      </c>
      <c r="L77">
        <v>0.44889400000000002</v>
      </c>
      <c r="M77">
        <v>0.41424100000000003</v>
      </c>
      <c r="N77">
        <v>6364.1</v>
      </c>
      <c r="O77">
        <v>306.55</v>
      </c>
      <c r="Q77">
        <f t="shared" si="4"/>
        <v>0.68633333333333335</v>
      </c>
      <c r="R77">
        <f t="shared" si="5"/>
        <v>0.78433333333333322</v>
      </c>
      <c r="S77">
        <f t="shared" si="6"/>
        <v>0.67656765676567632</v>
      </c>
      <c r="T77">
        <f t="shared" si="7"/>
        <v>0.42689200000000005</v>
      </c>
    </row>
    <row r="78" spans="1:20" x14ac:dyDescent="0.3">
      <c r="A78">
        <v>380</v>
      </c>
      <c r="B78">
        <v>0.68300000000000005</v>
      </c>
      <c r="C78">
        <v>0.78769999999999996</v>
      </c>
      <c r="D78">
        <v>0.69299999999999995</v>
      </c>
      <c r="E78">
        <v>0.35370000000000001</v>
      </c>
      <c r="F78">
        <v>0.73299999999999998</v>
      </c>
      <c r="G78">
        <v>0.85160000000000002</v>
      </c>
      <c r="H78">
        <v>0.683168316831683</v>
      </c>
      <c r="I78">
        <v>0.683168316831683</v>
      </c>
      <c r="J78">
        <v>0.71452145214521401</v>
      </c>
      <c r="K78">
        <v>0.35813499999999998</v>
      </c>
      <c r="L78">
        <v>0.39113900000000001</v>
      </c>
      <c r="M78">
        <v>0.37958700000000001</v>
      </c>
      <c r="N78">
        <v>6505.1</v>
      </c>
      <c r="O78">
        <v>240.91</v>
      </c>
      <c r="Q78">
        <f t="shared" si="4"/>
        <v>0.70299999999999996</v>
      </c>
      <c r="R78">
        <f t="shared" si="5"/>
        <v>0.66433333333333333</v>
      </c>
      <c r="S78">
        <f t="shared" si="6"/>
        <v>0.69361936193619333</v>
      </c>
      <c r="T78">
        <f t="shared" si="7"/>
        <v>0.37628700000000004</v>
      </c>
    </row>
    <row r="81" spans="1:24" x14ac:dyDescent="0.3">
      <c r="A81" t="s">
        <v>34</v>
      </c>
    </row>
    <row r="82" spans="1:24" x14ac:dyDescent="0.3">
      <c r="D82" t="s">
        <v>6</v>
      </c>
      <c r="I82" t="s">
        <v>7</v>
      </c>
      <c r="L82" t="s">
        <v>8</v>
      </c>
      <c r="S82" t="s">
        <v>83</v>
      </c>
      <c r="W82" t="s">
        <v>84</v>
      </c>
    </row>
    <row r="83" spans="1:24" x14ac:dyDescent="0.3">
      <c r="A83" t="s">
        <v>85</v>
      </c>
      <c r="B83" t="s">
        <v>86</v>
      </c>
      <c r="C83" t="s">
        <v>87</v>
      </c>
      <c r="D83" t="s">
        <v>88</v>
      </c>
      <c r="E83" t="s">
        <v>89</v>
      </c>
      <c r="F83" t="s">
        <v>90</v>
      </c>
      <c r="G83" t="s">
        <v>91</v>
      </c>
      <c r="H83" t="s">
        <v>92</v>
      </c>
      <c r="I83" t="s">
        <v>93</v>
      </c>
      <c r="J83" t="s">
        <v>94</v>
      </c>
      <c r="K83" t="s">
        <v>92</v>
      </c>
      <c r="L83" t="s">
        <v>93</v>
      </c>
      <c r="M83" t="s">
        <v>94</v>
      </c>
      <c r="N83" t="s">
        <v>95</v>
      </c>
      <c r="O83" t="s">
        <v>96</v>
      </c>
      <c r="Q83" t="s">
        <v>106</v>
      </c>
      <c r="R83" t="s">
        <v>107</v>
      </c>
      <c r="S83" t="s">
        <v>108</v>
      </c>
      <c r="T83" t="s">
        <v>109</v>
      </c>
      <c r="U83" t="s">
        <v>101</v>
      </c>
      <c r="V83" t="s">
        <v>102</v>
      </c>
      <c r="W83" t="s">
        <v>7</v>
      </c>
      <c r="X83" t="s">
        <v>8</v>
      </c>
    </row>
    <row r="84" spans="1:24" x14ac:dyDescent="0.3">
      <c r="A84">
        <v>10</v>
      </c>
      <c r="B84">
        <v>1.4999999999999999E-2</v>
      </c>
      <c r="C84">
        <v>-0.1883</v>
      </c>
      <c r="D84">
        <v>1.4999999999999999E-2</v>
      </c>
      <c r="E84">
        <v>-0.31469999999999998</v>
      </c>
      <c r="F84">
        <v>1.4999999999999999E-2</v>
      </c>
      <c r="G84">
        <v>-0.17430000000000001</v>
      </c>
      <c r="H84">
        <v>0.168325041459369</v>
      </c>
      <c r="I84">
        <v>9.5356550580431104E-2</v>
      </c>
      <c r="J84">
        <v>0.14179104477611901</v>
      </c>
      <c r="K84">
        <v>3.2363000000000003E-2</v>
      </c>
      <c r="L84">
        <v>2.4899999999999999E-2</v>
      </c>
      <c r="M84">
        <v>3.6509E-2</v>
      </c>
      <c r="N84">
        <v>1300.8</v>
      </c>
      <c r="O84">
        <v>149.66</v>
      </c>
      <c r="Q84">
        <f t="shared" ref="Q84:Q147" si="8">AVERAGE(B84,D84,F84)</f>
        <v>1.4999999999999999E-2</v>
      </c>
      <c r="R84">
        <f t="shared" ref="R84:R147" si="9">AVERAGE(C84,E84,G84)</f>
        <v>-0.22576666666666667</v>
      </c>
      <c r="S84">
        <f t="shared" ref="S84:S147" si="10">AVERAGE(H84:J84)</f>
        <v>0.13515754560530638</v>
      </c>
      <c r="T84">
        <f t="shared" ref="T84:T147" si="11">AVERAGE(K84:M84)</f>
        <v>3.1257333333333331E-2</v>
      </c>
      <c r="U84">
        <v>0</v>
      </c>
      <c r="V84">
        <f>MIN(R99:R148)</f>
        <v>-4.500866666666667</v>
      </c>
      <c r="W84">
        <f>MIN(S84:S158)</f>
        <v>5.5279159756771628E-3</v>
      </c>
      <c r="X84">
        <f>MIN(T84:T158)</f>
        <v>5.5526666666666667E-3</v>
      </c>
    </row>
    <row r="85" spans="1:24" x14ac:dyDescent="0.3">
      <c r="A85">
        <v>15</v>
      </c>
      <c r="B85">
        <v>5.0000000000000001E-3</v>
      </c>
      <c r="C85">
        <v>-0.2374</v>
      </c>
      <c r="D85">
        <v>5.0000000000000001E-3</v>
      </c>
      <c r="E85">
        <v>-0.1444</v>
      </c>
      <c r="F85">
        <v>1.4999999999999999E-2</v>
      </c>
      <c r="G85">
        <v>-0.188</v>
      </c>
      <c r="H85">
        <v>0.20232172470978399</v>
      </c>
      <c r="I85">
        <v>0.152570480928689</v>
      </c>
      <c r="J85">
        <v>0.18325041459369801</v>
      </c>
      <c r="K85">
        <v>2.9876E-2</v>
      </c>
      <c r="L85">
        <v>2.4070999999999999E-2</v>
      </c>
      <c r="M85">
        <v>3.4851E-2</v>
      </c>
      <c r="N85">
        <v>1400.1</v>
      </c>
      <c r="O85">
        <v>144.03</v>
      </c>
      <c r="Q85">
        <f t="shared" si="8"/>
        <v>8.3333333333333332E-3</v>
      </c>
      <c r="R85">
        <f t="shared" si="9"/>
        <v>-0.18993333333333337</v>
      </c>
      <c r="S85">
        <f t="shared" si="10"/>
        <v>0.1793808734107237</v>
      </c>
      <c r="T85">
        <f t="shared" si="11"/>
        <v>2.9599333333333328E-2</v>
      </c>
      <c r="V85" t="s">
        <v>110</v>
      </c>
      <c r="W85" t="s">
        <v>111</v>
      </c>
      <c r="X85" t="s">
        <v>112</v>
      </c>
    </row>
    <row r="86" spans="1:24" x14ac:dyDescent="0.3">
      <c r="A86">
        <v>20</v>
      </c>
      <c r="B86">
        <v>0.03</v>
      </c>
      <c r="C86">
        <v>-0.1182</v>
      </c>
      <c r="D86">
        <v>2.5000000000000001E-2</v>
      </c>
      <c r="E86">
        <v>-5.4800000000000001E-2</v>
      </c>
      <c r="F86">
        <v>0.06</v>
      </c>
      <c r="G86">
        <v>1.6199999999999999E-2</v>
      </c>
      <c r="H86">
        <v>0.23217247097844099</v>
      </c>
      <c r="I86">
        <v>0.18076285240464299</v>
      </c>
      <c r="J86">
        <v>0.26036484245439401</v>
      </c>
      <c r="K86">
        <v>3.4851E-2</v>
      </c>
      <c r="L86">
        <v>2.9876E-2</v>
      </c>
      <c r="M86">
        <v>4.8946999999999997E-2</v>
      </c>
      <c r="N86">
        <v>1473.7</v>
      </c>
      <c r="O86">
        <v>139.61000000000001</v>
      </c>
      <c r="Q86">
        <f t="shared" si="8"/>
        <v>3.833333333333333E-2</v>
      </c>
      <c r="R86">
        <f t="shared" si="9"/>
        <v>-5.2266666666666663E-2</v>
      </c>
      <c r="S86">
        <f t="shared" si="10"/>
        <v>0.22443338861249265</v>
      </c>
      <c r="T86">
        <f t="shared" si="11"/>
        <v>3.7891333333333332E-2</v>
      </c>
    </row>
    <row r="87" spans="1:24" x14ac:dyDescent="0.3">
      <c r="A87">
        <v>25</v>
      </c>
      <c r="B87">
        <v>3.5000000000000003E-2</v>
      </c>
      <c r="C87">
        <v>-9.4500000000000001E-2</v>
      </c>
      <c r="D87">
        <v>0.01</v>
      </c>
      <c r="E87">
        <v>-0.19769999999999999</v>
      </c>
      <c r="F87">
        <v>0.04</v>
      </c>
      <c r="G87">
        <v>-4.5999999999999999E-2</v>
      </c>
      <c r="H87">
        <v>0.29353233830845699</v>
      </c>
      <c r="I87">
        <v>0.187396351575456</v>
      </c>
      <c r="J87">
        <v>0.17910447761194001</v>
      </c>
      <c r="K87">
        <v>3.6509E-2</v>
      </c>
      <c r="L87">
        <v>2.5729999999999999E-2</v>
      </c>
      <c r="M87">
        <v>4.1484E-2</v>
      </c>
      <c r="N87">
        <v>1556.8</v>
      </c>
      <c r="O87">
        <v>170.45</v>
      </c>
      <c r="Q87">
        <f t="shared" si="8"/>
        <v>2.8333333333333335E-2</v>
      </c>
      <c r="R87">
        <f t="shared" si="9"/>
        <v>-0.11273333333333334</v>
      </c>
      <c r="S87">
        <f t="shared" si="10"/>
        <v>0.22001105583195102</v>
      </c>
      <c r="T87">
        <f t="shared" si="11"/>
        <v>3.4574333333333339E-2</v>
      </c>
    </row>
    <row r="88" spans="1:24" x14ac:dyDescent="0.3">
      <c r="A88">
        <v>30</v>
      </c>
      <c r="B88">
        <v>2.5000000000000001E-2</v>
      </c>
      <c r="C88">
        <v>-0.14330000000000001</v>
      </c>
      <c r="D88">
        <v>0</v>
      </c>
      <c r="E88">
        <v>-0.21970000000000001</v>
      </c>
      <c r="F88">
        <v>0.02</v>
      </c>
      <c r="G88">
        <v>-0.13120000000000001</v>
      </c>
      <c r="H88">
        <v>0.247097844112769</v>
      </c>
      <c r="I88">
        <v>0.13101160862354799</v>
      </c>
      <c r="J88">
        <v>0.21641791044776101</v>
      </c>
      <c r="K88">
        <v>4.0654999999999997E-2</v>
      </c>
      <c r="L88">
        <v>2.8216999999999999E-2</v>
      </c>
      <c r="M88">
        <v>4.0654999999999997E-2</v>
      </c>
      <c r="N88">
        <v>1626.3</v>
      </c>
      <c r="O88">
        <v>151.91</v>
      </c>
      <c r="Q88">
        <f t="shared" si="8"/>
        <v>1.4999999999999999E-2</v>
      </c>
      <c r="R88">
        <f t="shared" si="9"/>
        <v>-0.16473333333333331</v>
      </c>
      <c r="S88">
        <f t="shared" si="10"/>
        <v>0.19817578772802602</v>
      </c>
      <c r="T88">
        <f t="shared" si="11"/>
        <v>3.6508999999999993E-2</v>
      </c>
    </row>
    <row r="89" spans="1:24" x14ac:dyDescent="0.3">
      <c r="A89">
        <v>35</v>
      </c>
      <c r="B89">
        <v>0.02</v>
      </c>
      <c r="C89">
        <v>-0.1885</v>
      </c>
      <c r="D89">
        <v>0</v>
      </c>
      <c r="E89">
        <v>-0.32279999999999998</v>
      </c>
      <c r="F89">
        <v>0.01</v>
      </c>
      <c r="G89">
        <v>-0.2122</v>
      </c>
      <c r="H89">
        <v>0.26202321724709698</v>
      </c>
      <c r="I89">
        <v>0.106965174129353</v>
      </c>
      <c r="J89">
        <v>0.24792703150912099</v>
      </c>
      <c r="K89">
        <v>4.3143000000000001E-2</v>
      </c>
      <c r="L89">
        <v>2.4070999999999999E-2</v>
      </c>
      <c r="M89">
        <v>4.2313000000000003E-2</v>
      </c>
      <c r="N89">
        <v>1680.8</v>
      </c>
      <c r="O89">
        <v>144.69999999999999</v>
      </c>
      <c r="Q89">
        <f t="shared" si="8"/>
        <v>0.01</v>
      </c>
      <c r="R89">
        <f t="shared" si="9"/>
        <v>-0.24116666666666667</v>
      </c>
      <c r="S89">
        <f t="shared" si="10"/>
        <v>0.20563847429519033</v>
      </c>
      <c r="T89">
        <f t="shared" si="11"/>
        <v>3.6509E-2</v>
      </c>
    </row>
    <row r="90" spans="1:24" x14ac:dyDescent="0.3">
      <c r="A90">
        <v>40</v>
      </c>
      <c r="B90">
        <v>0.01</v>
      </c>
      <c r="C90">
        <v>-0.2069</v>
      </c>
      <c r="D90">
        <v>0.01</v>
      </c>
      <c r="E90">
        <v>-0.49519999999999997</v>
      </c>
      <c r="F90">
        <v>1.4999999999999999E-2</v>
      </c>
      <c r="G90">
        <v>-0.26419999999999999</v>
      </c>
      <c r="H90">
        <v>0.15920398009950201</v>
      </c>
      <c r="I90">
        <v>0.13598673300165801</v>
      </c>
      <c r="J90">
        <v>0.22470978441127601</v>
      </c>
      <c r="K90">
        <v>4.1484E-2</v>
      </c>
      <c r="L90">
        <v>2.4899999999999999E-2</v>
      </c>
      <c r="M90">
        <v>4.2313000000000003E-2</v>
      </c>
      <c r="N90">
        <v>1754.7</v>
      </c>
      <c r="O90">
        <v>139.25</v>
      </c>
      <c r="Q90">
        <f t="shared" si="8"/>
        <v>1.1666666666666667E-2</v>
      </c>
      <c r="R90">
        <f t="shared" si="9"/>
        <v>-0.3221</v>
      </c>
      <c r="S90">
        <f t="shared" si="10"/>
        <v>0.17330016583747868</v>
      </c>
      <c r="T90">
        <f t="shared" si="11"/>
        <v>3.6232333333333332E-2</v>
      </c>
    </row>
    <row r="91" spans="1:24" x14ac:dyDescent="0.3">
      <c r="A91">
        <v>45</v>
      </c>
      <c r="B91">
        <v>0.01</v>
      </c>
      <c r="C91">
        <v>-0.2427</v>
      </c>
      <c r="D91">
        <v>0.01</v>
      </c>
      <c r="E91">
        <v>-0.58530000000000004</v>
      </c>
      <c r="F91">
        <v>0.02</v>
      </c>
      <c r="G91">
        <v>-0.2427</v>
      </c>
      <c r="H91">
        <v>0.21890547263681501</v>
      </c>
      <c r="I91">
        <v>0.12686567164179099</v>
      </c>
      <c r="J91">
        <v>0.207296849087893</v>
      </c>
      <c r="K91">
        <v>3.3191999999999999E-2</v>
      </c>
      <c r="L91">
        <v>2.0754999999999999E-2</v>
      </c>
      <c r="M91">
        <v>3.6509E-2</v>
      </c>
      <c r="N91">
        <v>1841.2</v>
      </c>
      <c r="O91">
        <v>136.13999999999999</v>
      </c>
      <c r="Q91">
        <f t="shared" si="8"/>
        <v>1.3333333333333334E-2</v>
      </c>
      <c r="R91">
        <f t="shared" si="9"/>
        <v>-0.3569</v>
      </c>
      <c r="S91">
        <f t="shared" si="10"/>
        <v>0.18435599778883302</v>
      </c>
      <c r="T91">
        <f t="shared" si="11"/>
        <v>3.0151999999999998E-2</v>
      </c>
    </row>
    <row r="92" spans="1:24" x14ac:dyDescent="0.3">
      <c r="A92">
        <v>50</v>
      </c>
      <c r="B92">
        <v>0.01</v>
      </c>
      <c r="C92">
        <v>-0.3251</v>
      </c>
      <c r="D92">
        <v>5.0000000000000001E-3</v>
      </c>
      <c r="E92">
        <v>-0.41889999999999999</v>
      </c>
      <c r="F92">
        <v>1.4999999999999999E-2</v>
      </c>
      <c r="G92">
        <v>-0.30120000000000002</v>
      </c>
      <c r="H92">
        <v>0.19485903814262001</v>
      </c>
      <c r="I92">
        <v>0.150082918739635</v>
      </c>
      <c r="J92">
        <v>0.17744610281923701</v>
      </c>
      <c r="K92">
        <v>2.9045999999999999E-2</v>
      </c>
      <c r="L92">
        <v>1.9095999999999998E-2</v>
      </c>
      <c r="M92">
        <v>2.9876E-2</v>
      </c>
      <c r="N92">
        <v>1938.1</v>
      </c>
      <c r="O92">
        <v>144.78</v>
      </c>
      <c r="Q92">
        <f t="shared" si="8"/>
        <v>0.01</v>
      </c>
      <c r="R92">
        <f t="shared" si="9"/>
        <v>-0.34839999999999999</v>
      </c>
      <c r="S92">
        <f t="shared" si="10"/>
        <v>0.17412935323383069</v>
      </c>
      <c r="T92">
        <f t="shared" si="11"/>
        <v>2.6006000000000001E-2</v>
      </c>
    </row>
    <row r="93" spans="1:24" x14ac:dyDescent="0.3">
      <c r="A93">
        <v>55</v>
      </c>
      <c r="B93">
        <v>5.0000000000000001E-3</v>
      </c>
      <c r="C93">
        <v>-0.4481</v>
      </c>
      <c r="D93">
        <v>5.0000000000000001E-3</v>
      </c>
      <c r="E93">
        <v>-0.77080000000000004</v>
      </c>
      <c r="F93">
        <v>5.0000000000000001E-3</v>
      </c>
      <c r="G93">
        <v>-0.3921</v>
      </c>
      <c r="H93">
        <v>0.111940298507462</v>
      </c>
      <c r="I93">
        <v>8.12603648424544E-2</v>
      </c>
      <c r="J93">
        <v>9.7014925373134303E-2</v>
      </c>
      <c r="K93">
        <v>2.5729999999999999E-2</v>
      </c>
      <c r="L93">
        <v>1.4121E-2</v>
      </c>
      <c r="M93">
        <v>2.9876E-2</v>
      </c>
      <c r="N93">
        <v>2029.3</v>
      </c>
      <c r="O93">
        <v>153.94999999999999</v>
      </c>
      <c r="Q93">
        <f t="shared" si="8"/>
        <v>5.0000000000000001E-3</v>
      </c>
      <c r="R93">
        <f t="shared" si="9"/>
        <v>-0.53700000000000003</v>
      </c>
      <c r="S93">
        <f t="shared" si="10"/>
        <v>9.6738529574350238E-2</v>
      </c>
      <c r="T93">
        <f t="shared" si="11"/>
        <v>2.3242333333333334E-2</v>
      </c>
    </row>
    <row r="94" spans="1:24" x14ac:dyDescent="0.3">
      <c r="A94">
        <v>60</v>
      </c>
      <c r="B94">
        <v>0</v>
      </c>
      <c r="C94">
        <v>-0.4874</v>
      </c>
      <c r="D94">
        <v>0</v>
      </c>
      <c r="E94">
        <v>-0.62239999999999995</v>
      </c>
      <c r="F94">
        <v>5.0000000000000001E-3</v>
      </c>
      <c r="G94">
        <v>-0.4572</v>
      </c>
      <c r="H94">
        <v>8.6235489220563802E-2</v>
      </c>
      <c r="I94">
        <v>6.3847429519071297E-2</v>
      </c>
      <c r="J94">
        <v>0.11111111111111099</v>
      </c>
      <c r="K94">
        <v>2.2412999999999999E-2</v>
      </c>
      <c r="L94">
        <v>1.6608999999999999E-2</v>
      </c>
      <c r="M94">
        <v>2.4899999999999999E-2</v>
      </c>
      <c r="N94">
        <v>2084.9</v>
      </c>
      <c r="O94">
        <v>153.52000000000001</v>
      </c>
      <c r="Q94">
        <f t="shared" si="8"/>
        <v>1.6666666666666668E-3</v>
      </c>
      <c r="R94">
        <f t="shared" si="9"/>
        <v>-0.52233333333333332</v>
      </c>
      <c r="S94">
        <f t="shared" si="10"/>
        <v>8.706467661691536E-2</v>
      </c>
      <c r="T94">
        <f t="shared" si="11"/>
        <v>2.1307333333333334E-2</v>
      </c>
    </row>
    <row r="95" spans="1:24" x14ac:dyDescent="0.3">
      <c r="A95">
        <v>65</v>
      </c>
      <c r="B95">
        <v>5.0000000000000001E-3</v>
      </c>
      <c r="C95">
        <v>-0.87919999999999998</v>
      </c>
      <c r="D95">
        <v>0</v>
      </c>
      <c r="E95">
        <v>-1.1696</v>
      </c>
      <c r="F95">
        <v>5.0000000000000001E-3</v>
      </c>
      <c r="G95">
        <v>-0.82520000000000004</v>
      </c>
      <c r="H95">
        <v>6.8822553897180699E-2</v>
      </c>
      <c r="I95">
        <v>6.5505804311774399E-2</v>
      </c>
      <c r="J95">
        <v>5.8872305140961798E-2</v>
      </c>
      <c r="K95">
        <v>2.3241999999999999E-2</v>
      </c>
      <c r="L95">
        <v>1.495E-2</v>
      </c>
      <c r="M95">
        <v>2.4899999999999999E-2</v>
      </c>
      <c r="N95">
        <v>2205.6</v>
      </c>
      <c r="O95">
        <v>153.62</v>
      </c>
      <c r="Q95">
        <f t="shared" si="8"/>
        <v>3.3333333333333335E-3</v>
      </c>
      <c r="R95">
        <f t="shared" si="9"/>
        <v>-0.95800000000000007</v>
      </c>
      <c r="S95">
        <f t="shared" si="10"/>
        <v>6.440022111663897E-2</v>
      </c>
      <c r="T95">
        <f t="shared" si="11"/>
        <v>2.1030666666666666E-2</v>
      </c>
    </row>
    <row r="96" spans="1:24" x14ac:dyDescent="0.3">
      <c r="A96">
        <v>70</v>
      </c>
      <c r="B96">
        <v>5.0000000000000001E-3</v>
      </c>
      <c r="C96">
        <v>-1.0169999999999999</v>
      </c>
      <c r="D96">
        <v>0</v>
      </c>
      <c r="E96">
        <v>-1.2294</v>
      </c>
      <c r="F96">
        <v>0</v>
      </c>
      <c r="G96">
        <v>-0.94469999999999998</v>
      </c>
      <c r="H96">
        <v>7.2139303482587E-2</v>
      </c>
      <c r="I96">
        <v>3.7313432835820899E-2</v>
      </c>
      <c r="J96">
        <v>8.12603648424544E-2</v>
      </c>
      <c r="K96">
        <v>2.5729999999999999E-2</v>
      </c>
      <c r="L96">
        <v>1.3292E-2</v>
      </c>
      <c r="M96">
        <v>2.2412999999999999E-2</v>
      </c>
      <c r="N96">
        <v>2127.5</v>
      </c>
      <c r="O96">
        <v>166.23</v>
      </c>
      <c r="Q96">
        <f t="shared" si="8"/>
        <v>1.6666666666666668E-3</v>
      </c>
      <c r="R96">
        <f t="shared" si="9"/>
        <v>-1.0637000000000001</v>
      </c>
      <c r="S96">
        <f t="shared" si="10"/>
        <v>6.357103372028744E-2</v>
      </c>
      <c r="T96">
        <f t="shared" si="11"/>
        <v>2.0478333333333334E-2</v>
      </c>
    </row>
    <row r="97" spans="1:20" x14ac:dyDescent="0.3">
      <c r="A97">
        <v>75</v>
      </c>
      <c r="B97">
        <v>5.0000000000000001E-3</v>
      </c>
      <c r="C97">
        <v>-1.1338999999999999</v>
      </c>
      <c r="D97">
        <v>0</v>
      </c>
      <c r="E97">
        <v>-1.3596999999999999</v>
      </c>
      <c r="F97">
        <v>0</v>
      </c>
      <c r="G97">
        <v>-1.0101</v>
      </c>
      <c r="H97">
        <v>7.0480928689883898E-2</v>
      </c>
      <c r="I97">
        <v>3.3167495854062999E-2</v>
      </c>
      <c r="J97">
        <v>5.9701492537313397E-2</v>
      </c>
      <c r="K97">
        <v>1.9924999999999998E-2</v>
      </c>
      <c r="L97">
        <v>1.4121E-2</v>
      </c>
      <c r="M97">
        <v>2.4070999999999999E-2</v>
      </c>
      <c r="N97">
        <v>2215.9</v>
      </c>
      <c r="O97">
        <v>158.97</v>
      </c>
      <c r="Q97">
        <f t="shared" si="8"/>
        <v>1.6666666666666668E-3</v>
      </c>
      <c r="R97">
        <f t="shared" si="9"/>
        <v>-1.1678999999999999</v>
      </c>
      <c r="S97">
        <f t="shared" si="10"/>
        <v>5.4449972360420096E-2</v>
      </c>
      <c r="T97">
        <f t="shared" si="11"/>
        <v>1.9372333333333335E-2</v>
      </c>
    </row>
    <row r="98" spans="1:20" x14ac:dyDescent="0.3">
      <c r="A98">
        <v>80</v>
      </c>
      <c r="B98">
        <v>5.0000000000000001E-3</v>
      </c>
      <c r="C98">
        <v>-1.2272000000000001</v>
      </c>
      <c r="D98">
        <v>0</v>
      </c>
      <c r="E98">
        <v>-1.4408000000000001</v>
      </c>
      <c r="F98">
        <v>0</v>
      </c>
      <c r="G98">
        <v>-1.1823999999999999</v>
      </c>
      <c r="H98">
        <v>4.4776119402985003E-2</v>
      </c>
      <c r="I98">
        <v>3.0679933665008201E-2</v>
      </c>
      <c r="J98">
        <v>4.6434494195688202E-2</v>
      </c>
      <c r="K98">
        <v>1.8266999999999999E-2</v>
      </c>
      <c r="L98">
        <v>1.1632999999999999E-2</v>
      </c>
      <c r="M98">
        <v>2.1583999999999999E-2</v>
      </c>
      <c r="N98">
        <v>2146.9</v>
      </c>
      <c r="O98">
        <v>161.66999999999999</v>
      </c>
      <c r="Q98">
        <f t="shared" si="8"/>
        <v>1.6666666666666668E-3</v>
      </c>
      <c r="R98">
        <f t="shared" si="9"/>
        <v>-1.2834666666666668</v>
      </c>
      <c r="S98">
        <f t="shared" si="10"/>
        <v>4.063018242122713E-2</v>
      </c>
      <c r="T98">
        <f t="shared" si="11"/>
        <v>1.7161333333333331E-2</v>
      </c>
    </row>
    <row r="99" spans="1:20" x14ac:dyDescent="0.3">
      <c r="A99">
        <v>85</v>
      </c>
      <c r="B99">
        <v>0</v>
      </c>
      <c r="C99">
        <v>-1.2874000000000001</v>
      </c>
      <c r="D99">
        <v>0</v>
      </c>
      <c r="E99">
        <v>-2.1587999999999998</v>
      </c>
      <c r="F99">
        <v>0</v>
      </c>
      <c r="G99">
        <v>-1.2245999999999999</v>
      </c>
      <c r="H99">
        <v>3.15091210613598E-2</v>
      </c>
      <c r="I99">
        <v>5.3067993366500803E-2</v>
      </c>
      <c r="J99">
        <v>3.64842454394693E-2</v>
      </c>
      <c r="K99">
        <v>1.9095999999999998E-2</v>
      </c>
      <c r="L99">
        <v>1.1632999999999999E-2</v>
      </c>
      <c r="M99">
        <v>1.6608999999999999E-2</v>
      </c>
      <c r="N99">
        <v>2250.6999999999998</v>
      </c>
      <c r="O99">
        <v>141.94999999999999</v>
      </c>
      <c r="Q99">
        <f t="shared" si="8"/>
        <v>0</v>
      </c>
      <c r="R99">
        <f t="shared" si="9"/>
        <v>-1.5569333333333333</v>
      </c>
      <c r="S99">
        <f t="shared" si="10"/>
        <v>4.0353786622443301E-2</v>
      </c>
      <c r="T99">
        <f t="shared" si="11"/>
        <v>1.5779333333333333E-2</v>
      </c>
    </row>
    <row r="100" spans="1:20" x14ac:dyDescent="0.3">
      <c r="A100">
        <v>90</v>
      </c>
      <c r="B100">
        <v>0</v>
      </c>
      <c r="C100">
        <v>-1.3794999999999999</v>
      </c>
      <c r="D100">
        <v>0</v>
      </c>
      <c r="E100">
        <v>-2.5047999999999999</v>
      </c>
      <c r="F100">
        <v>0</v>
      </c>
      <c r="G100">
        <v>-1.2987</v>
      </c>
      <c r="H100">
        <v>4.7263681592039801E-2</v>
      </c>
      <c r="I100">
        <v>2.73631840796019E-2</v>
      </c>
      <c r="J100">
        <v>3.7313432835820802E-2</v>
      </c>
      <c r="K100">
        <v>1.5779000000000001E-2</v>
      </c>
      <c r="L100">
        <v>6.6579999999999999E-3</v>
      </c>
      <c r="M100">
        <v>1.3292E-2</v>
      </c>
      <c r="N100">
        <v>2364.1999999999998</v>
      </c>
      <c r="O100">
        <v>158.34</v>
      </c>
      <c r="Q100">
        <f t="shared" si="8"/>
        <v>0</v>
      </c>
      <c r="R100">
        <f t="shared" si="9"/>
        <v>-1.7276666666666667</v>
      </c>
      <c r="S100">
        <f t="shared" si="10"/>
        <v>3.7313432835820837E-2</v>
      </c>
      <c r="T100">
        <f t="shared" si="11"/>
        <v>1.1909666666666667E-2</v>
      </c>
    </row>
    <row r="101" spans="1:20" x14ac:dyDescent="0.3">
      <c r="A101">
        <v>95</v>
      </c>
      <c r="B101">
        <v>0</v>
      </c>
      <c r="C101">
        <v>-1.4927999999999999</v>
      </c>
      <c r="D101">
        <v>0</v>
      </c>
      <c r="E101">
        <v>-2.4809000000000001</v>
      </c>
      <c r="F101">
        <v>0</v>
      </c>
      <c r="G101">
        <v>-1.3116000000000001</v>
      </c>
      <c r="H101">
        <v>3.64842454394693E-2</v>
      </c>
      <c r="I101">
        <v>1.99004975124378E-2</v>
      </c>
      <c r="J101">
        <v>2.73631840796019E-2</v>
      </c>
      <c r="K101">
        <v>1.5779000000000001E-2</v>
      </c>
      <c r="L101">
        <v>9.9749999999999995E-3</v>
      </c>
      <c r="M101">
        <v>1.495E-2</v>
      </c>
      <c r="N101">
        <v>2259.9</v>
      </c>
      <c r="O101">
        <v>145.27000000000001</v>
      </c>
      <c r="Q101">
        <f t="shared" si="8"/>
        <v>0</v>
      </c>
      <c r="R101">
        <f t="shared" si="9"/>
        <v>-1.7617666666666667</v>
      </c>
      <c r="S101">
        <f t="shared" si="10"/>
        <v>2.7915975677169663E-2</v>
      </c>
      <c r="T101">
        <f t="shared" si="11"/>
        <v>1.3567999999999998E-2</v>
      </c>
    </row>
    <row r="102" spans="1:20" x14ac:dyDescent="0.3">
      <c r="A102">
        <v>100</v>
      </c>
      <c r="B102">
        <v>0</v>
      </c>
      <c r="C102">
        <v>-1.5468</v>
      </c>
      <c r="D102">
        <v>0</v>
      </c>
      <c r="E102">
        <v>-2.8039000000000001</v>
      </c>
      <c r="F102">
        <v>0</v>
      </c>
      <c r="G102">
        <v>-2.4739</v>
      </c>
      <c r="H102">
        <v>4.4776119402985003E-2</v>
      </c>
      <c r="I102">
        <v>1.4925373134328301E-2</v>
      </c>
      <c r="J102">
        <v>2.5704809286898798E-2</v>
      </c>
      <c r="K102">
        <v>1.495E-2</v>
      </c>
      <c r="L102">
        <v>9.9749999999999995E-3</v>
      </c>
      <c r="M102">
        <v>1.5779000000000001E-2</v>
      </c>
      <c r="N102">
        <v>2423.3000000000002</v>
      </c>
      <c r="O102">
        <v>144.75</v>
      </c>
      <c r="Q102">
        <f t="shared" si="8"/>
        <v>0</v>
      </c>
      <c r="R102">
        <f t="shared" si="9"/>
        <v>-2.2748666666666666</v>
      </c>
      <c r="S102">
        <f t="shared" si="10"/>
        <v>2.8468767274737367E-2</v>
      </c>
      <c r="T102">
        <f t="shared" si="11"/>
        <v>1.3568000000000002E-2</v>
      </c>
    </row>
    <row r="103" spans="1:20" x14ac:dyDescent="0.3">
      <c r="A103">
        <v>105</v>
      </c>
      <c r="B103">
        <v>0</v>
      </c>
      <c r="C103">
        <v>-2.8717999999999999</v>
      </c>
      <c r="D103">
        <v>0</v>
      </c>
      <c r="E103">
        <v>-3.28</v>
      </c>
      <c r="F103">
        <v>0</v>
      </c>
      <c r="G103">
        <v>-2.7463000000000002</v>
      </c>
      <c r="H103">
        <v>2.3217247097844101E-2</v>
      </c>
      <c r="I103">
        <v>1.24378109452736E-2</v>
      </c>
      <c r="J103">
        <v>2.4875621890547199E-2</v>
      </c>
      <c r="K103">
        <v>9.9749999999999995E-3</v>
      </c>
      <c r="L103">
        <v>7.4879999999999999E-3</v>
      </c>
      <c r="M103">
        <v>1.1632999999999999E-2</v>
      </c>
      <c r="N103">
        <v>2456.1</v>
      </c>
      <c r="O103">
        <v>178</v>
      </c>
      <c r="Q103">
        <f t="shared" si="8"/>
        <v>0</v>
      </c>
      <c r="R103">
        <f t="shared" si="9"/>
        <v>-2.9660333333333333</v>
      </c>
      <c r="S103">
        <f t="shared" si="10"/>
        <v>2.0176893311221633E-2</v>
      </c>
      <c r="T103">
        <f t="shared" si="11"/>
        <v>9.6986666666666662E-3</v>
      </c>
    </row>
    <row r="104" spans="1:20" x14ac:dyDescent="0.3">
      <c r="A104">
        <v>110</v>
      </c>
      <c r="B104">
        <v>0</v>
      </c>
      <c r="C104">
        <v>-1.6062000000000001</v>
      </c>
      <c r="D104">
        <v>0</v>
      </c>
      <c r="E104">
        <v>-3.0527000000000002</v>
      </c>
      <c r="F104">
        <v>0</v>
      </c>
      <c r="G104">
        <v>-2.8353000000000002</v>
      </c>
      <c r="H104">
        <v>2.2388059701492501E-2</v>
      </c>
      <c r="I104">
        <v>1.4925373134328301E-2</v>
      </c>
      <c r="J104">
        <v>2.40464344941956E-2</v>
      </c>
      <c r="K104">
        <v>1.3292E-2</v>
      </c>
      <c r="L104">
        <v>6.6579999999999999E-3</v>
      </c>
      <c r="M104">
        <v>1.0803999999999999E-2</v>
      </c>
      <c r="N104">
        <v>2496.5</v>
      </c>
      <c r="O104">
        <v>154.88999999999999</v>
      </c>
      <c r="Q104">
        <f t="shared" si="8"/>
        <v>0</v>
      </c>
      <c r="R104">
        <f t="shared" si="9"/>
        <v>-2.4980666666666669</v>
      </c>
      <c r="S104">
        <f t="shared" si="10"/>
        <v>2.0453289110005466E-2</v>
      </c>
      <c r="T104">
        <f t="shared" si="11"/>
        <v>1.0251333333333333E-2</v>
      </c>
    </row>
    <row r="105" spans="1:20" x14ac:dyDescent="0.3">
      <c r="A105">
        <v>115</v>
      </c>
      <c r="B105">
        <v>0</v>
      </c>
      <c r="C105">
        <v>-3.1549999999999998</v>
      </c>
      <c r="D105">
        <v>0</v>
      </c>
      <c r="E105">
        <v>-3.4182000000000001</v>
      </c>
      <c r="F105">
        <v>0</v>
      </c>
      <c r="G105">
        <v>-2.9832000000000001</v>
      </c>
      <c r="H105">
        <v>2.5704809286898798E-2</v>
      </c>
      <c r="I105">
        <v>1.1608623548922E-2</v>
      </c>
      <c r="J105">
        <v>2.40464344941956E-2</v>
      </c>
      <c r="K105">
        <v>1.1632999999999999E-2</v>
      </c>
      <c r="L105">
        <v>9.1459999999999996E-3</v>
      </c>
      <c r="M105">
        <v>1.1632999999999999E-2</v>
      </c>
      <c r="N105">
        <v>2651.9</v>
      </c>
      <c r="O105">
        <v>135.16999999999999</v>
      </c>
      <c r="Q105">
        <f t="shared" si="8"/>
        <v>0</v>
      </c>
      <c r="R105">
        <f t="shared" si="9"/>
        <v>-3.1854666666666667</v>
      </c>
      <c r="S105">
        <f t="shared" si="10"/>
        <v>2.0453289110005466E-2</v>
      </c>
      <c r="T105">
        <f t="shared" si="11"/>
        <v>1.0803999999999999E-2</v>
      </c>
    </row>
    <row r="106" spans="1:20" x14ac:dyDescent="0.3">
      <c r="A106">
        <v>120</v>
      </c>
      <c r="B106">
        <v>0</v>
      </c>
      <c r="C106">
        <v>-3.1187</v>
      </c>
      <c r="D106">
        <v>0</v>
      </c>
      <c r="E106">
        <v>-3.3410000000000002</v>
      </c>
      <c r="F106">
        <v>0</v>
      </c>
      <c r="G106">
        <v>-3.1040999999999999</v>
      </c>
      <c r="H106">
        <v>1.9071310116086201E-2</v>
      </c>
      <c r="I106">
        <v>1.0779436152570401E-2</v>
      </c>
      <c r="J106">
        <v>1.99004975124378E-2</v>
      </c>
      <c r="K106">
        <v>9.1459999999999996E-3</v>
      </c>
      <c r="L106">
        <v>6.6579999999999999E-3</v>
      </c>
      <c r="M106">
        <v>1.0803999999999999E-2</v>
      </c>
      <c r="N106">
        <v>2770.4</v>
      </c>
      <c r="O106">
        <v>183.36</v>
      </c>
      <c r="Q106">
        <f t="shared" si="8"/>
        <v>0</v>
      </c>
      <c r="R106">
        <f t="shared" si="9"/>
        <v>-3.1879333333333335</v>
      </c>
      <c r="S106">
        <f t="shared" si="10"/>
        <v>1.6583747927031465E-2</v>
      </c>
      <c r="T106">
        <f t="shared" si="11"/>
        <v>8.8693333333333332E-3</v>
      </c>
    </row>
    <row r="107" spans="1:20" x14ac:dyDescent="0.3">
      <c r="A107">
        <v>125</v>
      </c>
      <c r="B107">
        <v>0</v>
      </c>
      <c r="C107">
        <v>-3.1606000000000001</v>
      </c>
      <c r="D107">
        <v>0</v>
      </c>
      <c r="E107">
        <v>-3.5790999999999999</v>
      </c>
      <c r="F107">
        <v>0</v>
      </c>
      <c r="G107">
        <v>-3.1606000000000001</v>
      </c>
      <c r="H107">
        <v>1.7412935323382998E-2</v>
      </c>
      <c r="I107">
        <v>6.6334991708126003E-3</v>
      </c>
      <c r="J107">
        <v>1.9071310116086201E-2</v>
      </c>
      <c r="K107">
        <v>8.3169999999999997E-3</v>
      </c>
      <c r="L107">
        <v>7.4879999999999999E-3</v>
      </c>
      <c r="M107">
        <v>1.1632999999999999E-2</v>
      </c>
      <c r="N107">
        <v>2735.9</v>
      </c>
      <c r="O107">
        <v>169.17</v>
      </c>
      <c r="Q107">
        <f t="shared" si="8"/>
        <v>0</v>
      </c>
      <c r="R107">
        <f t="shared" si="9"/>
        <v>-3.3001</v>
      </c>
      <c r="S107">
        <f t="shared" si="10"/>
        <v>1.4372581536760598E-2</v>
      </c>
      <c r="T107">
        <f t="shared" si="11"/>
        <v>9.1459999999999996E-3</v>
      </c>
    </row>
    <row r="108" spans="1:20" x14ac:dyDescent="0.3">
      <c r="A108">
        <v>130</v>
      </c>
      <c r="B108">
        <v>0</v>
      </c>
      <c r="C108">
        <v>-3.0859999999999999</v>
      </c>
      <c r="D108">
        <v>0</v>
      </c>
      <c r="E108">
        <v>-3.4268999999999998</v>
      </c>
      <c r="F108">
        <v>0</v>
      </c>
      <c r="G108">
        <v>-3.0859999999999999</v>
      </c>
      <c r="H108">
        <v>1.24378109452736E-2</v>
      </c>
      <c r="I108">
        <v>8.2918739635157498E-3</v>
      </c>
      <c r="J108">
        <v>1.7412935323382998E-2</v>
      </c>
      <c r="K108">
        <v>9.1459999999999996E-3</v>
      </c>
      <c r="L108">
        <v>6.6579999999999999E-3</v>
      </c>
      <c r="M108">
        <v>9.9749999999999995E-3</v>
      </c>
      <c r="N108">
        <v>2885.4</v>
      </c>
      <c r="O108">
        <v>145.11000000000001</v>
      </c>
      <c r="Q108">
        <f t="shared" si="8"/>
        <v>0</v>
      </c>
      <c r="R108">
        <f t="shared" si="9"/>
        <v>-3.1996333333333333</v>
      </c>
      <c r="S108">
        <f t="shared" si="10"/>
        <v>1.2714206744057448E-2</v>
      </c>
      <c r="T108">
        <f t="shared" si="11"/>
        <v>8.5929999999999982E-3</v>
      </c>
    </row>
    <row r="109" spans="1:20" x14ac:dyDescent="0.3">
      <c r="A109">
        <v>135</v>
      </c>
      <c r="B109">
        <v>0</v>
      </c>
      <c r="C109">
        <v>-3.0790000000000002</v>
      </c>
      <c r="D109">
        <v>0</v>
      </c>
      <c r="E109">
        <v>-3.6166</v>
      </c>
      <c r="F109">
        <v>0</v>
      </c>
      <c r="G109">
        <v>-3.0377999999999998</v>
      </c>
      <c r="H109">
        <v>1.4925373134328301E-2</v>
      </c>
      <c r="I109">
        <v>6.6334991708126003E-3</v>
      </c>
      <c r="J109">
        <v>1.40961857379767E-2</v>
      </c>
      <c r="K109">
        <v>9.1459999999999996E-3</v>
      </c>
      <c r="L109">
        <v>5.829E-3</v>
      </c>
      <c r="M109">
        <v>8.3169999999999997E-3</v>
      </c>
      <c r="N109">
        <v>3006.5</v>
      </c>
      <c r="O109">
        <v>186.36</v>
      </c>
      <c r="Q109">
        <f t="shared" si="8"/>
        <v>0</v>
      </c>
      <c r="R109">
        <f t="shared" si="9"/>
        <v>-3.2444666666666664</v>
      </c>
      <c r="S109">
        <f t="shared" si="10"/>
        <v>1.1885019347705868E-2</v>
      </c>
      <c r="T109">
        <f t="shared" si="11"/>
        <v>7.7640000000000001E-3</v>
      </c>
    </row>
    <row r="110" spans="1:20" x14ac:dyDescent="0.3">
      <c r="A110">
        <v>140</v>
      </c>
      <c r="B110">
        <v>0</v>
      </c>
      <c r="C110">
        <v>-3.3574999999999999</v>
      </c>
      <c r="D110">
        <v>0</v>
      </c>
      <c r="E110">
        <v>-3.915</v>
      </c>
      <c r="F110">
        <v>0</v>
      </c>
      <c r="G110">
        <v>-3.3574999999999999</v>
      </c>
      <c r="H110">
        <v>1.1608623548922E-2</v>
      </c>
      <c r="I110">
        <v>9.1210613598673301E-3</v>
      </c>
      <c r="J110">
        <v>1.1608623548922E-2</v>
      </c>
      <c r="K110">
        <v>8.3169999999999997E-3</v>
      </c>
      <c r="L110">
        <v>5.829E-3</v>
      </c>
      <c r="M110">
        <v>8.3169999999999997E-3</v>
      </c>
      <c r="N110">
        <v>2889.9</v>
      </c>
      <c r="O110">
        <v>210.86</v>
      </c>
      <c r="Q110">
        <f t="shared" si="8"/>
        <v>0</v>
      </c>
      <c r="R110">
        <f t="shared" si="9"/>
        <v>-3.543333333333333</v>
      </c>
      <c r="S110">
        <f t="shared" si="10"/>
        <v>1.0779436152570444E-2</v>
      </c>
      <c r="T110">
        <f t="shared" si="11"/>
        <v>7.4876666666666659E-3</v>
      </c>
    </row>
    <row r="111" spans="1:20" x14ac:dyDescent="0.3">
      <c r="A111">
        <v>145</v>
      </c>
      <c r="B111">
        <v>0</v>
      </c>
      <c r="C111">
        <v>-3.3494999999999999</v>
      </c>
      <c r="D111">
        <v>0</v>
      </c>
      <c r="E111">
        <v>-3.7930000000000001</v>
      </c>
      <c r="F111">
        <v>0</v>
      </c>
      <c r="G111">
        <v>-3.1854</v>
      </c>
      <c r="H111">
        <v>1.24378109452736E-2</v>
      </c>
      <c r="I111">
        <v>9.1210613598673301E-3</v>
      </c>
      <c r="J111">
        <v>1.3266998341625201E-2</v>
      </c>
      <c r="K111">
        <v>8.3169999999999997E-3</v>
      </c>
      <c r="L111">
        <v>5.829E-3</v>
      </c>
      <c r="M111">
        <v>8.3169999999999997E-3</v>
      </c>
      <c r="N111">
        <v>2977.3</v>
      </c>
      <c r="O111">
        <v>176.19</v>
      </c>
      <c r="Q111">
        <f t="shared" si="8"/>
        <v>0</v>
      </c>
      <c r="R111">
        <f t="shared" si="9"/>
        <v>-3.4426333333333332</v>
      </c>
      <c r="S111">
        <f t="shared" si="10"/>
        <v>1.1608623548922043E-2</v>
      </c>
      <c r="T111">
        <f t="shared" si="11"/>
        <v>7.4876666666666659E-3</v>
      </c>
    </row>
    <row r="112" spans="1:20" x14ac:dyDescent="0.3">
      <c r="A112">
        <v>150</v>
      </c>
      <c r="B112">
        <v>0</v>
      </c>
      <c r="C112">
        <v>-3.4361999999999999</v>
      </c>
      <c r="D112">
        <v>0</v>
      </c>
      <c r="E112">
        <v>-3.9921000000000002</v>
      </c>
      <c r="F112">
        <v>0</v>
      </c>
      <c r="G112">
        <v>-3.2932000000000001</v>
      </c>
      <c r="H112">
        <v>1.0779436152570401E-2</v>
      </c>
      <c r="I112">
        <v>5.80431177446102E-3</v>
      </c>
      <c r="J112">
        <v>1.7412935323382998E-2</v>
      </c>
      <c r="K112">
        <v>8.3169999999999997E-3</v>
      </c>
      <c r="L112">
        <v>6.6579999999999999E-3</v>
      </c>
      <c r="M112">
        <v>7.4879999999999999E-3</v>
      </c>
      <c r="N112">
        <v>3100.1</v>
      </c>
      <c r="O112">
        <v>154.80000000000001</v>
      </c>
      <c r="Q112">
        <f t="shared" si="8"/>
        <v>0</v>
      </c>
      <c r="R112">
        <f t="shared" si="9"/>
        <v>-3.5738333333333334</v>
      </c>
      <c r="S112">
        <f t="shared" si="10"/>
        <v>1.1332227750138139E-2</v>
      </c>
      <c r="T112">
        <f t="shared" si="11"/>
        <v>7.4876666666666659E-3</v>
      </c>
    </row>
    <row r="113" spans="1:20" x14ac:dyDescent="0.3">
      <c r="A113">
        <v>155</v>
      </c>
      <c r="B113">
        <v>0</v>
      </c>
      <c r="C113">
        <v>-3.5129000000000001</v>
      </c>
      <c r="D113">
        <v>0</v>
      </c>
      <c r="E113">
        <v>-3.9769999999999999</v>
      </c>
      <c r="F113">
        <v>0</v>
      </c>
      <c r="G113">
        <v>-3.3452999999999999</v>
      </c>
      <c r="H113">
        <v>1.24378109452736E-2</v>
      </c>
      <c r="I113">
        <v>4.97512437810945E-3</v>
      </c>
      <c r="J113">
        <v>1.40961857379767E-2</v>
      </c>
      <c r="K113">
        <v>8.3169999999999997E-3</v>
      </c>
      <c r="L113">
        <v>5.0000000000000001E-3</v>
      </c>
      <c r="M113">
        <v>8.3169999999999997E-3</v>
      </c>
      <c r="N113">
        <v>3225.1</v>
      </c>
      <c r="O113">
        <v>212.55</v>
      </c>
      <c r="Q113">
        <f t="shared" si="8"/>
        <v>0</v>
      </c>
      <c r="R113">
        <f t="shared" si="9"/>
        <v>-3.6117333333333335</v>
      </c>
      <c r="S113">
        <f t="shared" si="10"/>
        <v>1.0503040353786583E-2</v>
      </c>
      <c r="T113">
        <f t="shared" si="11"/>
        <v>7.2113333333333335E-3</v>
      </c>
    </row>
    <row r="114" spans="1:20" x14ac:dyDescent="0.3">
      <c r="A114">
        <v>160</v>
      </c>
      <c r="B114">
        <v>0</v>
      </c>
      <c r="C114">
        <v>-3.5714999999999999</v>
      </c>
      <c r="D114">
        <v>0</v>
      </c>
      <c r="E114">
        <v>-3.9453</v>
      </c>
      <c r="F114">
        <v>0</v>
      </c>
      <c r="G114">
        <v>-3.4234</v>
      </c>
      <c r="H114">
        <v>9.1210613598673301E-3</v>
      </c>
      <c r="I114">
        <v>5.80431177446102E-3</v>
      </c>
      <c r="J114">
        <v>1.3266998341625201E-2</v>
      </c>
      <c r="K114">
        <v>7.4879999999999999E-3</v>
      </c>
      <c r="L114">
        <v>5.829E-3</v>
      </c>
      <c r="M114">
        <v>9.1459999999999996E-3</v>
      </c>
      <c r="N114">
        <v>3187.1</v>
      </c>
      <c r="O114">
        <v>184.81</v>
      </c>
      <c r="Q114">
        <f t="shared" si="8"/>
        <v>0</v>
      </c>
      <c r="R114">
        <f t="shared" si="9"/>
        <v>-3.6467333333333336</v>
      </c>
      <c r="S114">
        <f t="shared" si="10"/>
        <v>9.3974571586511822E-3</v>
      </c>
      <c r="T114">
        <f t="shared" si="11"/>
        <v>7.4876666666666659E-3</v>
      </c>
    </row>
    <row r="115" spans="1:20" x14ac:dyDescent="0.3">
      <c r="A115">
        <v>165</v>
      </c>
      <c r="B115">
        <v>0</v>
      </c>
      <c r="C115">
        <v>-3.7909999999999999</v>
      </c>
      <c r="D115">
        <v>0</v>
      </c>
      <c r="E115">
        <v>-4.2891000000000004</v>
      </c>
      <c r="F115">
        <v>0</v>
      </c>
      <c r="G115">
        <v>-3.5636000000000001</v>
      </c>
      <c r="H115">
        <v>1.1608623548922E-2</v>
      </c>
      <c r="I115">
        <v>4.1459369817578697E-3</v>
      </c>
      <c r="J115">
        <v>1.24378109452736E-2</v>
      </c>
      <c r="K115">
        <v>9.1459999999999996E-3</v>
      </c>
      <c r="L115">
        <v>5.0000000000000001E-3</v>
      </c>
      <c r="M115">
        <v>8.3169999999999997E-3</v>
      </c>
      <c r="N115">
        <v>3282.7</v>
      </c>
      <c r="O115">
        <v>160.47999999999999</v>
      </c>
      <c r="Q115">
        <f t="shared" si="8"/>
        <v>0</v>
      </c>
      <c r="R115">
        <f t="shared" si="9"/>
        <v>-3.8812333333333329</v>
      </c>
      <c r="S115">
        <f t="shared" si="10"/>
        <v>9.3974571586511561E-3</v>
      </c>
      <c r="T115">
        <f t="shared" si="11"/>
        <v>7.4876666666666659E-3</v>
      </c>
    </row>
    <row r="116" spans="1:20" x14ac:dyDescent="0.3">
      <c r="A116">
        <v>170</v>
      </c>
      <c r="B116">
        <v>0</v>
      </c>
      <c r="C116">
        <v>-4.0288000000000004</v>
      </c>
      <c r="D116">
        <v>0</v>
      </c>
      <c r="E116">
        <v>-4.4325000000000001</v>
      </c>
      <c r="F116">
        <v>0</v>
      </c>
      <c r="G116">
        <v>-3.7873000000000001</v>
      </c>
      <c r="H116">
        <v>9.9502487562189001E-3</v>
      </c>
      <c r="I116">
        <v>4.97512437810945E-3</v>
      </c>
      <c r="J116">
        <v>1.3266998341625201E-2</v>
      </c>
      <c r="K116">
        <v>7.4879999999999999E-3</v>
      </c>
      <c r="L116">
        <v>5.829E-3</v>
      </c>
      <c r="M116">
        <v>7.4879999999999999E-3</v>
      </c>
      <c r="N116">
        <v>3466.3</v>
      </c>
      <c r="O116">
        <v>156.27000000000001</v>
      </c>
      <c r="Q116">
        <f t="shared" si="8"/>
        <v>0</v>
      </c>
      <c r="R116">
        <f t="shared" si="9"/>
        <v>-4.0828666666666669</v>
      </c>
      <c r="S116">
        <f t="shared" si="10"/>
        <v>9.3974571586511822E-3</v>
      </c>
      <c r="T116">
        <f t="shared" si="11"/>
        <v>6.9349999999999993E-3</v>
      </c>
    </row>
    <row r="117" spans="1:20" x14ac:dyDescent="0.3">
      <c r="A117">
        <v>175</v>
      </c>
      <c r="B117">
        <v>0</v>
      </c>
      <c r="C117">
        <v>-4.1798999999999999</v>
      </c>
      <c r="D117">
        <v>0</v>
      </c>
      <c r="E117">
        <v>-4.6097000000000001</v>
      </c>
      <c r="F117">
        <v>0</v>
      </c>
      <c r="G117">
        <v>-4.0366</v>
      </c>
      <c r="H117">
        <v>9.9502487562189001E-3</v>
      </c>
      <c r="I117">
        <v>4.97512437810945E-3</v>
      </c>
      <c r="J117">
        <v>1.24378109452736E-2</v>
      </c>
      <c r="K117">
        <v>7.4879999999999999E-3</v>
      </c>
      <c r="L117">
        <v>5.829E-3</v>
      </c>
      <c r="M117">
        <v>7.4879999999999999E-3</v>
      </c>
      <c r="N117">
        <v>3657.7</v>
      </c>
      <c r="O117">
        <v>212.28</v>
      </c>
      <c r="Q117">
        <f t="shared" si="8"/>
        <v>0</v>
      </c>
      <c r="R117">
        <f t="shared" si="9"/>
        <v>-4.2754000000000003</v>
      </c>
      <c r="S117">
        <f t="shared" si="10"/>
        <v>9.1210613598673163E-3</v>
      </c>
      <c r="T117">
        <f t="shared" si="11"/>
        <v>6.9349999999999993E-3</v>
      </c>
    </row>
    <row r="118" spans="1:20" x14ac:dyDescent="0.3">
      <c r="A118">
        <v>180</v>
      </c>
      <c r="B118">
        <v>0</v>
      </c>
      <c r="C118">
        <v>-4.2282000000000002</v>
      </c>
      <c r="D118">
        <v>0</v>
      </c>
      <c r="E118">
        <v>-4.7042999999999999</v>
      </c>
      <c r="F118">
        <v>0</v>
      </c>
      <c r="G118">
        <v>-4.1361999999999997</v>
      </c>
      <c r="H118">
        <v>9.1210613598673301E-3</v>
      </c>
      <c r="I118">
        <v>3.3167495854063002E-3</v>
      </c>
      <c r="J118">
        <v>1.24378109452736E-2</v>
      </c>
      <c r="K118">
        <v>6.6579999999999999E-3</v>
      </c>
      <c r="L118">
        <v>5.829E-3</v>
      </c>
      <c r="M118">
        <v>6.6579999999999999E-3</v>
      </c>
      <c r="N118">
        <v>3616.6</v>
      </c>
      <c r="O118">
        <v>239.8</v>
      </c>
      <c r="Q118">
        <f t="shared" si="8"/>
        <v>0</v>
      </c>
      <c r="R118">
        <f t="shared" si="9"/>
        <v>-4.356233333333333</v>
      </c>
      <c r="S118">
        <f t="shared" si="10"/>
        <v>8.2918739635157428E-3</v>
      </c>
      <c r="T118">
        <f t="shared" si="11"/>
        <v>6.3816666666666666E-3</v>
      </c>
    </row>
    <row r="119" spans="1:20" x14ac:dyDescent="0.3">
      <c r="A119">
        <v>185</v>
      </c>
      <c r="B119">
        <v>0</v>
      </c>
      <c r="C119">
        <v>-4.3093000000000004</v>
      </c>
      <c r="D119">
        <v>0</v>
      </c>
      <c r="E119">
        <v>-4.7428999999999997</v>
      </c>
      <c r="F119">
        <v>0</v>
      </c>
      <c r="G119">
        <v>-4.1768999999999998</v>
      </c>
      <c r="H119">
        <v>7.4626865671641703E-3</v>
      </c>
      <c r="I119">
        <v>3.3167495854063002E-3</v>
      </c>
      <c r="J119">
        <v>6.6334991708126003E-3</v>
      </c>
      <c r="K119">
        <v>7.4879999999999999E-3</v>
      </c>
      <c r="L119">
        <v>6.6579999999999999E-3</v>
      </c>
      <c r="M119">
        <v>8.3169999999999997E-3</v>
      </c>
      <c r="N119">
        <v>3592.7</v>
      </c>
      <c r="O119">
        <v>201.2</v>
      </c>
      <c r="Q119">
        <f t="shared" si="8"/>
        <v>0</v>
      </c>
      <c r="R119">
        <f t="shared" si="9"/>
        <v>-4.4097</v>
      </c>
      <c r="S119">
        <f t="shared" si="10"/>
        <v>5.8043117744610235E-3</v>
      </c>
      <c r="T119">
        <f t="shared" si="11"/>
        <v>7.4876666666666659E-3</v>
      </c>
    </row>
    <row r="120" spans="1:20" x14ac:dyDescent="0.3">
      <c r="A120">
        <v>190</v>
      </c>
      <c r="B120">
        <v>0</v>
      </c>
      <c r="C120">
        <v>-4.4770000000000003</v>
      </c>
      <c r="D120">
        <v>0</v>
      </c>
      <c r="E120">
        <v>-4.7712000000000003</v>
      </c>
      <c r="F120">
        <v>0</v>
      </c>
      <c r="G120">
        <v>-4.2544000000000004</v>
      </c>
      <c r="H120">
        <v>7.4626865671641703E-3</v>
      </c>
      <c r="I120">
        <v>2.4875621890547198E-3</v>
      </c>
      <c r="J120">
        <v>8.2918739635157498E-3</v>
      </c>
      <c r="K120">
        <v>8.3169999999999997E-3</v>
      </c>
      <c r="L120">
        <v>5.0000000000000001E-3</v>
      </c>
      <c r="M120">
        <v>5.829E-3</v>
      </c>
      <c r="N120">
        <v>3698.3</v>
      </c>
      <c r="O120">
        <v>179.64</v>
      </c>
      <c r="Q120">
        <f t="shared" si="8"/>
        <v>0</v>
      </c>
      <c r="R120">
        <f t="shared" si="9"/>
        <v>-4.500866666666667</v>
      </c>
      <c r="S120">
        <f t="shared" si="10"/>
        <v>6.0807075732448798E-3</v>
      </c>
      <c r="T120">
        <f t="shared" si="11"/>
        <v>6.3819999999999997E-3</v>
      </c>
    </row>
    <row r="121" spans="1:20" x14ac:dyDescent="0.3">
      <c r="A121">
        <v>195</v>
      </c>
      <c r="B121">
        <v>0</v>
      </c>
      <c r="C121">
        <v>-4.2451999999999996</v>
      </c>
      <c r="D121">
        <v>0</v>
      </c>
      <c r="E121">
        <v>-4.7102000000000004</v>
      </c>
      <c r="F121">
        <v>0</v>
      </c>
      <c r="G121">
        <v>-4.1870000000000003</v>
      </c>
      <c r="H121">
        <v>7.4626865671641703E-3</v>
      </c>
      <c r="I121">
        <v>4.1459369817578697E-3</v>
      </c>
      <c r="J121">
        <v>9.9502487562189001E-3</v>
      </c>
      <c r="K121">
        <v>6.6579999999999999E-3</v>
      </c>
      <c r="L121">
        <v>5.0000000000000001E-3</v>
      </c>
      <c r="M121">
        <v>6.6579999999999999E-3</v>
      </c>
      <c r="N121">
        <v>3831.5</v>
      </c>
      <c r="O121">
        <v>184.58</v>
      </c>
      <c r="Q121">
        <f t="shared" si="8"/>
        <v>0</v>
      </c>
      <c r="R121">
        <f t="shared" si="9"/>
        <v>-4.3808000000000007</v>
      </c>
      <c r="S121">
        <f t="shared" si="10"/>
        <v>7.1862907683803131E-3</v>
      </c>
      <c r="T121">
        <f t="shared" si="11"/>
        <v>6.1053333333333333E-3</v>
      </c>
    </row>
    <row r="122" spans="1:20" x14ac:dyDescent="0.3">
      <c r="A122">
        <v>200</v>
      </c>
      <c r="B122">
        <v>0</v>
      </c>
      <c r="C122">
        <v>-4.3380000000000001</v>
      </c>
      <c r="D122">
        <v>0</v>
      </c>
      <c r="E122">
        <v>-4.6955999999999998</v>
      </c>
      <c r="F122">
        <v>0</v>
      </c>
      <c r="G122">
        <v>-3.9557000000000002</v>
      </c>
      <c r="H122">
        <v>8.2918739635157498E-3</v>
      </c>
      <c r="I122">
        <v>3.3167495854063002E-3</v>
      </c>
      <c r="J122">
        <v>9.1210613598673301E-3</v>
      </c>
      <c r="K122">
        <v>5.829E-3</v>
      </c>
      <c r="L122">
        <v>5.0000000000000001E-3</v>
      </c>
      <c r="M122">
        <v>5.829E-3</v>
      </c>
      <c r="N122">
        <v>3928.3</v>
      </c>
      <c r="O122">
        <v>232.75</v>
      </c>
      <c r="Q122">
        <f t="shared" si="8"/>
        <v>0</v>
      </c>
      <c r="R122">
        <f t="shared" si="9"/>
        <v>-4.329766666666667</v>
      </c>
      <c r="S122">
        <f t="shared" si="10"/>
        <v>6.909894969596461E-3</v>
      </c>
      <c r="T122">
        <f t="shared" si="11"/>
        <v>5.5526666666666667E-3</v>
      </c>
    </row>
    <row r="123" spans="1:20" x14ac:dyDescent="0.3">
      <c r="A123">
        <v>205</v>
      </c>
      <c r="B123">
        <v>0</v>
      </c>
      <c r="C123">
        <v>-4.2788000000000004</v>
      </c>
      <c r="D123">
        <v>0</v>
      </c>
      <c r="E123">
        <v>-4.7051999999999996</v>
      </c>
      <c r="F123">
        <v>0</v>
      </c>
      <c r="G123">
        <v>-3.9889000000000001</v>
      </c>
      <c r="H123">
        <v>6.6334991708126003E-3</v>
      </c>
      <c r="I123">
        <v>3.3167495854063002E-3</v>
      </c>
      <c r="J123">
        <v>9.1210613598673301E-3</v>
      </c>
      <c r="K123">
        <v>8.3169999999999997E-3</v>
      </c>
      <c r="L123">
        <v>5.829E-3</v>
      </c>
      <c r="M123">
        <v>9.1459999999999996E-3</v>
      </c>
      <c r="N123">
        <v>3886</v>
      </c>
      <c r="O123">
        <v>280.58</v>
      </c>
      <c r="Q123">
        <f t="shared" si="8"/>
        <v>0</v>
      </c>
      <c r="R123">
        <f t="shared" si="9"/>
        <v>-4.3243</v>
      </c>
      <c r="S123">
        <f t="shared" si="10"/>
        <v>6.357103372028744E-3</v>
      </c>
      <c r="T123">
        <f t="shared" si="11"/>
        <v>7.7640000000000001E-3</v>
      </c>
    </row>
    <row r="124" spans="1:20" x14ac:dyDescent="0.3">
      <c r="A124">
        <v>210</v>
      </c>
      <c r="B124">
        <v>0</v>
      </c>
      <c r="C124">
        <v>-4.3156999999999996</v>
      </c>
      <c r="D124">
        <v>0</v>
      </c>
      <c r="E124">
        <v>-4.7662000000000004</v>
      </c>
      <c r="F124">
        <v>0</v>
      </c>
      <c r="G124">
        <v>-3.9775999999999998</v>
      </c>
      <c r="H124">
        <v>8.2918739635157498E-3</v>
      </c>
      <c r="I124">
        <v>2.4875621890547198E-3</v>
      </c>
      <c r="J124">
        <v>1.1608623548922E-2</v>
      </c>
      <c r="K124">
        <v>6.6579999999999999E-3</v>
      </c>
      <c r="L124">
        <v>5.0000000000000001E-3</v>
      </c>
      <c r="M124">
        <v>8.3169999999999997E-3</v>
      </c>
      <c r="N124">
        <v>4007.1</v>
      </c>
      <c r="O124">
        <v>241.14</v>
      </c>
      <c r="Q124">
        <f t="shared" si="8"/>
        <v>0</v>
      </c>
      <c r="R124">
        <f t="shared" si="9"/>
        <v>-4.3531666666666666</v>
      </c>
      <c r="S124">
        <f t="shared" si="10"/>
        <v>7.4626865671641564E-3</v>
      </c>
      <c r="T124">
        <f t="shared" si="11"/>
        <v>6.6583333333333329E-3</v>
      </c>
    </row>
    <row r="125" spans="1:20" x14ac:dyDescent="0.3">
      <c r="A125">
        <v>215</v>
      </c>
      <c r="B125">
        <v>0</v>
      </c>
      <c r="C125">
        <v>-4.2594000000000003</v>
      </c>
      <c r="D125">
        <v>0</v>
      </c>
      <c r="E125">
        <v>-4.633</v>
      </c>
      <c r="F125">
        <v>0</v>
      </c>
      <c r="G125">
        <v>-4.0167999999999999</v>
      </c>
      <c r="H125">
        <v>7.4626865671641703E-3</v>
      </c>
      <c r="I125">
        <v>2.4875621890547198E-3</v>
      </c>
      <c r="J125">
        <v>6.6334991708126003E-3</v>
      </c>
      <c r="K125">
        <v>6.6579999999999999E-3</v>
      </c>
      <c r="L125">
        <v>5.0000000000000001E-3</v>
      </c>
      <c r="M125">
        <v>6.6579999999999999E-3</v>
      </c>
      <c r="N125">
        <v>4129.7</v>
      </c>
      <c r="O125">
        <v>209.73</v>
      </c>
      <c r="Q125">
        <f t="shared" si="8"/>
        <v>0</v>
      </c>
      <c r="R125">
        <f t="shared" si="9"/>
        <v>-4.303066666666667</v>
      </c>
      <c r="S125">
        <f t="shared" si="10"/>
        <v>5.5279159756771628E-3</v>
      </c>
      <c r="T125">
        <f t="shared" si="11"/>
        <v>6.1053333333333333E-3</v>
      </c>
    </row>
    <row r="126" spans="1:20" x14ac:dyDescent="0.3">
      <c r="A126">
        <v>220</v>
      </c>
      <c r="B126">
        <v>0</v>
      </c>
      <c r="C126">
        <v>-4.1707999999999998</v>
      </c>
      <c r="D126">
        <v>0</v>
      </c>
      <c r="E126">
        <v>-4.6384999999999996</v>
      </c>
      <c r="F126">
        <v>0</v>
      </c>
      <c r="G126">
        <v>-3.9384000000000001</v>
      </c>
      <c r="H126">
        <v>6.6334991708126003E-3</v>
      </c>
      <c r="I126">
        <v>4.1459369817578697E-3</v>
      </c>
      <c r="J126">
        <v>7.4626865671641703E-3</v>
      </c>
      <c r="K126">
        <v>5.0000000000000001E-3</v>
      </c>
      <c r="L126">
        <v>5.0000000000000001E-3</v>
      </c>
      <c r="M126">
        <v>8.3169999999999997E-3</v>
      </c>
      <c r="N126">
        <v>4266.8999999999996</v>
      </c>
      <c r="O126">
        <v>162.16</v>
      </c>
      <c r="Q126">
        <f t="shared" si="8"/>
        <v>0</v>
      </c>
      <c r="R126">
        <f t="shared" si="9"/>
        <v>-4.2492333333333336</v>
      </c>
      <c r="S126">
        <f t="shared" si="10"/>
        <v>6.0807075732448798E-3</v>
      </c>
      <c r="T126">
        <f t="shared" si="11"/>
        <v>6.1056666666666664E-3</v>
      </c>
    </row>
    <row r="127" spans="1:20" x14ac:dyDescent="0.3">
      <c r="A127">
        <v>225</v>
      </c>
      <c r="B127">
        <v>0</v>
      </c>
      <c r="C127">
        <v>-4.2942</v>
      </c>
      <c r="D127">
        <v>0</v>
      </c>
      <c r="E127">
        <v>-4.6454000000000004</v>
      </c>
      <c r="F127">
        <v>0</v>
      </c>
      <c r="G127">
        <v>-3.7772000000000001</v>
      </c>
      <c r="H127">
        <v>8.2918739635157498E-3</v>
      </c>
      <c r="I127">
        <v>2.4875621890547198E-3</v>
      </c>
      <c r="J127">
        <v>8.2918739635157498E-3</v>
      </c>
      <c r="K127">
        <v>6.6579999999999999E-3</v>
      </c>
      <c r="L127">
        <v>5.829E-3</v>
      </c>
      <c r="M127">
        <v>7.4879999999999999E-3</v>
      </c>
      <c r="N127">
        <v>4432.2</v>
      </c>
      <c r="O127">
        <v>241.41</v>
      </c>
      <c r="Q127">
        <f t="shared" si="8"/>
        <v>0</v>
      </c>
      <c r="R127">
        <f t="shared" si="9"/>
        <v>-4.2389333333333337</v>
      </c>
      <c r="S127">
        <f t="shared" si="10"/>
        <v>6.3571033720287396E-3</v>
      </c>
      <c r="T127">
        <f t="shared" si="11"/>
        <v>6.6583333333333329E-3</v>
      </c>
    </row>
    <row r="128" spans="1:20" x14ac:dyDescent="0.3">
      <c r="A128">
        <v>230</v>
      </c>
      <c r="B128">
        <v>0</v>
      </c>
      <c r="C128">
        <v>-4.1223999999999998</v>
      </c>
      <c r="D128">
        <v>0</v>
      </c>
      <c r="E128">
        <v>-4.5945999999999998</v>
      </c>
      <c r="F128">
        <v>0</v>
      </c>
      <c r="G128">
        <v>-3.8287</v>
      </c>
      <c r="H128">
        <v>7.4626865671641703E-3</v>
      </c>
      <c r="I128">
        <v>2.4875621890547198E-3</v>
      </c>
      <c r="J128">
        <v>9.9502487562189001E-3</v>
      </c>
      <c r="K128">
        <v>7.4879999999999999E-3</v>
      </c>
      <c r="L128">
        <v>5.0000000000000001E-3</v>
      </c>
      <c r="M128">
        <v>7.4879999999999999E-3</v>
      </c>
      <c r="N128">
        <v>4347.8</v>
      </c>
      <c r="O128">
        <v>296.08999999999997</v>
      </c>
      <c r="Q128">
        <f t="shared" si="8"/>
        <v>0</v>
      </c>
      <c r="R128">
        <f t="shared" si="9"/>
        <v>-4.1818999999999997</v>
      </c>
      <c r="S128">
        <f t="shared" si="10"/>
        <v>6.6334991708125969E-3</v>
      </c>
      <c r="T128">
        <f t="shared" si="11"/>
        <v>6.6586666666666669E-3</v>
      </c>
    </row>
    <row r="129" spans="1:20" x14ac:dyDescent="0.3">
      <c r="A129">
        <v>235</v>
      </c>
      <c r="B129">
        <v>0</v>
      </c>
      <c r="C129">
        <v>-3.9981</v>
      </c>
      <c r="D129">
        <v>0</v>
      </c>
      <c r="E129">
        <v>-4.3479999999999999</v>
      </c>
      <c r="F129">
        <v>0</v>
      </c>
      <c r="G129">
        <v>-3.5550999999999999</v>
      </c>
      <c r="H129">
        <v>8.2918739635157498E-3</v>
      </c>
      <c r="I129">
        <v>5.80431177446102E-3</v>
      </c>
      <c r="J129">
        <v>9.9502487562189001E-3</v>
      </c>
      <c r="K129">
        <v>8.3169999999999997E-3</v>
      </c>
      <c r="L129">
        <v>5.829E-3</v>
      </c>
      <c r="M129">
        <v>8.3169999999999997E-3</v>
      </c>
      <c r="N129">
        <v>4437.5</v>
      </c>
      <c r="O129">
        <v>255.41</v>
      </c>
      <c r="Q129">
        <f t="shared" si="8"/>
        <v>0</v>
      </c>
      <c r="R129">
        <f t="shared" si="9"/>
        <v>-3.9670666666666663</v>
      </c>
      <c r="S129">
        <f t="shared" si="10"/>
        <v>8.0154781647318891E-3</v>
      </c>
      <c r="T129">
        <f t="shared" si="11"/>
        <v>7.4876666666666659E-3</v>
      </c>
    </row>
    <row r="130" spans="1:20" x14ac:dyDescent="0.3">
      <c r="A130">
        <v>240</v>
      </c>
      <c r="B130">
        <v>0</v>
      </c>
      <c r="C130">
        <v>-4.0247999999999999</v>
      </c>
      <c r="D130">
        <v>0</v>
      </c>
      <c r="E130">
        <v>-4.3959999999999999</v>
      </c>
      <c r="F130">
        <v>0</v>
      </c>
      <c r="G130">
        <v>-3.6067</v>
      </c>
      <c r="H130">
        <v>7.4626865671641703E-3</v>
      </c>
      <c r="I130">
        <v>2.4875621890547198E-3</v>
      </c>
      <c r="J130">
        <v>8.2918739635157498E-3</v>
      </c>
      <c r="K130">
        <v>6.6579999999999999E-3</v>
      </c>
      <c r="L130">
        <v>5.829E-3</v>
      </c>
      <c r="M130">
        <v>7.4879999999999999E-3</v>
      </c>
      <c r="N130">
        <v>4554.3999999999996</v>
      </c>
      <c r="O130">
        <v>227.45</v>
      </c>
      <c r="Q130">
        <f t="shared" si="8"/>
        <v>0</v>
      </c>
      <c r="R130">
        <f t="shared" si="9"/>
        <v>-4.0091666666666663</v>
      </c>
      <c r="S130">
        <f t="shared" si="10"/>
        <v>6.0807075732448798E-3</v>
      </c>
      <c r="T130">
        <f t="shared" si="11"/>
        <v>6.6583333333333329E-3</v>
      </c>
    </row>
    <row r="131" spans="1:20" x14ac:dyDescent="0.3">
      <c r="A131">
        <v>245</v>
      </c>
      <c r="B131">
        <v>0</v>
      </c>
      <c r="C131">
        <v>-3.9161999999999999</v>
      </c>
      <c r="D131">
        <v>0</v>
      </c>
      <c r="E131">
        <v>-4.2675999999999998</v>
      </c>
      <c r="F131">
        <v>0</v>
      </c>
      <c r="G131">
        <v>-3.4348999999999998</v>
      </c>
      <c r="H131">
        <v>7.4626865671641703E-3</v>
      </c>
      <c r="I131">
        <v>2.4875621890547198E-3</v>
      </c>
      <c r="J131">
        <v>9.9502487562189001E-3</v>
      </c>
      <c r="K131">
        <v>6.6579999999999999E-3</v>
      </c>
      <c r="L131">
        <v>5.0000000000000001E-3</v>
      </c>
      <c r="M131">
        <v>6.6579999999999999E-3</v>
      </c>
      <c r="N131">
        <v>4700.6000000000004</v>
      </c>
      <c r="O131">
        <v>297.92</v>
      </c>
      <c r="Q131">
        <f t="shared" si="8"/>
        <v>0</v>
      </c>
      <c r="R131">
        <f t="shared" si="9"/>
        <v>-3.8729</v>
      </c>
      <c r="S131">
        <f t="shared" si="10"/>
        <v>6.6334991708125969E-3</v>
      </c>
      <c r="T131">
        <f t="shared" si="11"/>
        <v>6.1053333333333333E-3</v>
      </c>
    </row>
    <row r="132" spans="1:20" x14ac:dyDescent="0.3">
      <c r="A132">
        <v>250</v>
      </c>
      <c r="B132">
        <v>0</v>
      </c>
      <c r="C132">
        <v>-3.9376000000000002</v>
      </c>
      <c r="D132">
        <v>0</v>
      </c>
      <c r="E132">
        <v>-4.1128999999999998</v>
      </c>
      <c r="F132">
        <v>0</v>
      </c>
      <c r="G132">
        <v>-3.5185</v>
      </c>
      <c r="H132">
        <v>7.4626865671641703E-3</v>
      </c>
      <c r="I132">
        <v>4.1459369817578697E-3</v>
      </c>
      <c r="J132">
        <v>9.9502487562189001E-3</v>
      </c>
      <c r="K132">
        <v>5.829E-3</v>
      </c>
      <c r="L132">
        <v>5.0000000000000001E-3</v>
      </c>
      <c r="M132">
        <v>6.6579999999999999E-3</v>
      </c>
      <c r="N132">
        <v>4878.8</v>
      </c>
      <c r="O132">
        <v>177.42</v>
      </c>
      <c r="Q132">
        <f t="shared" si="8"/>
        <v>0</v>
      </c>
      <c r="R132">
        <f t="shared" si="9"/>
        <v>-3.8563333333333332</v>
      </c>
      <c r="S132">
        <f t="shared" si="10"/>
        <v>7.1862907683803131E-3</v>
      </c>
      <c r="T132">
        <f t="shared" si="11"/>
        <v>5.829E-3</v>
      </c>
    </row>
    <row r="133" spans="1:20" x14ac:dyDescent="0.3">
      <c r="A133">
        <v>255</v>
      </c>
      <c r="B133">
        <v>0</v>
      </c>
      <c r="C133">
        <v>-3.794</v>
      </c>
      <c r="D133">
        <v>0</v>
      </c>
      <c r="E133">
        <v>-4.1346999999999996</v>
      </c>
      <c r="F133">
        <v>0</v>
      </c>
      <c r="G133">
        <v>-3.3761999999999999</v>
      </c>
      <c r="H133">
        <v>5.80431177446102E-3</v>
      </c>
      <c r="I133">
        <v>5.80431177446102E-3</v>
      </c>
      <c r="J133">
        <v>6.6334991708126003E-3</v>
      </c>
      <c r="K133">
        <v>7.4879999999999999E-3</v>
      </c>
      <c r="L133">
        <v>5.0000000000000001E-3</v>
      </c>
      <c r="M133">
        <v>7.4879999999999999E-3</v>
      </c>
      <c r="N133">
        <v>5023.5</v>
      </c>
      <c r="O133">
        <v>317.22000000000003</v>
      </c>
      <c r="Q133">
        <f t="shared" si="8"/>
        <v>0</v>
      </c>
      <c r="R133">
        <f t="shared" si="9"/>
        <v>-3.7683</v>
      </c>
      <c r="S133">
        <f t="shared" si="10"/>
        <v>6.0807075732448798E-3</v>
      </c>
      <c r="T133">
        <f t="shared" si="11"/>
        <v>6.6586666666666669E-3</v>
      </c>
    </row>
    <row r="134" spans="1:20" x14ac:dyDescent="0.3">
      <c r="A134">
        <v>260</v>
      </c>
      <c r="B134">
        <v>0</v>
      </c>
      <c r="C134">
        <v>-3.5670999999999999</v>
      </c>
      <c r="D134">
        <v>0</v>
      </c>
      <c r="E134">
        <v>-3.8607</v>
      </c>
      <c r="F134">
        <v>0</v>
      </c>
      <c r="G134">
        <v>-3.1770999999999998</v>
      </c>
      <c r="H134">
        <v>8.2918739635157498E-3</v>
      </c>
      <c r="I134">
        <v>2.4875621890547198E-3</v>
      </c>
      <c r="J134">
        <v>9.9502487562189001E-3</v>
      </c>
      <c r="K134">
        <v>5.0000000000000001E-3</v>
      </c>
      <c r="L134">
        <v>6.6579999999999999E-3</v>
      </c>
      <c r="M134">
        <v>5.829E-3</v>
      </c>
      <c r="N134">
        <v>4951</v>
      </c>
      <c r="O134">
        <v>339.75</v>
      </c>
      <c r="Q134">
        <f t="shared" si="8"/>
        <v>0</v>
      </c>
      <c r="R134">
        <f t="shared" si="9"/>
        <v>-3.5349666666666661</v>
      </c>
      <c r="S134">
        <f t="shared" si="10"/>
        <v>6.9098949695964558E-3</v>
      </c>
      <c r="T134">
        <f t="shared" si="11"/>
        <v>5.829E-3</v>
      </c>
    </row>
    <row r="135" spans="1:20" x14ac:dyDescent="0.3">
      <c r="A135">
        <v>265</v>
      </c>
      <c r="B135">
        <v>0</v>
      </c>
      <c r="C135">
        <v>-3.5806</v>
      </c>
      <c r="D135">
        <v>0</v>
      </c>
      <c r="E135">
        <v>-3.8611</v>
      </c>
      <c r="F135">
        <v>0</v>
      </c>
      <c r="G135">
        <v>-2.9979</v>
      </c>
      <c r="H135">
        <v>8.2918739635157498E-3</v>
      </c>
      <c r="I135">
        <v>4.1459369817578697E-3</v>
      </c>
      <c r="J135">
        <v>7.4626865671641703E-3</v>
      </c>
      <c r="K135">
        <v>9.9749999999999995E-3</v>
      </c>
      <c r="L135">
        <v>6.6579999999999999E-3</v>
      </c>
      <c r="M135">
        <v>7.4879999999999999E-3</v>
      </c>
      <c r="N135">
        <v>5058.3</v>
      </c>
      <c r="O135">
        <v>316.08999999999997</v>
      </c>
      <c r="Q135">
        <f t="shared" si="8"/>
        <v>0</v>
      </c>
      <c r="R135">
        <f t="shared" si="9"/>
        <v>-3.4798666666666667</v>
      </c>
      <c r="S135">
        <f t="shared" si="10"/>
        <v>6.6334991708125969E-3</v>
      </c>
      <c r="T135">
        <f t="shared" si="11"/>
        <v>8.0403333333333316E-3</v>
      </c>
    </row>
    <row r="136" spans="1:20" x14ac:dyDescent="0.3">
      <c r="A136">
        <v>270</v>
      </c>
      <c r="B136">
        <v>0</v>
      </c>
      <c r="C136">
        <v>-3.5078999999999998</v>
      </c>
      <c r="D136">
        <v>0</v>
      </c>
      <c r="E136">
        <v>-3.6122999999999998</v>
      </c>
      <c r="F136">
        <v>0</v>
      </c>
      <c r="G136">
        <v>-2.9980000000000002</v>
      </c>
      <c r="H136">
        <v>5.80431177446102E-3</v>
      </c>
      <c r="I136">
        <v>4.1459369817578697E-3</v>
      </c>
      <c r="J136">
        <v>8.2918739635157498E-3</v>
      </c>
      <c r="K136">
        <v>7.4879999999999999E-3</v>
      </c>
      <c r="L136">
        <v>5.0000000000000001E-3</v>
      </c>
      <c r="M136">
        <v>7.4879999999999999E-3</v>
      </c>
      <c r="N136">
        <v>5201.1000000000004</v>
      </c>
      <c r="O136">
        <v>255.23</v>
      </c>
      <c r="Q136">
        <f t="shared" si="8"/>
        <v>0</v>
      </c>
      <c r="R136">
        <f t="shared" si="9"/>
        <v>-3.3727333333333331</v>
      </c>
      <c r="S136">
        <f t="shared" si="10"/>
        <v>6.0807075732448798E-3</v>
      </c>
      <c r="T136">
        <f t="shared" si="11"/>
        <v>6.6586666666666669E-3</v>
      </c>
    </row>
    <row r="137" spans="1:20" x14ac:dyDescent="0.3">
      <c r="A137">
        <v>275</v>
      </c>
      <c r="B137">
        <v>0</v>
      </c>
      <c r="C137">
        <v>-3.4266000000000001</v>
      </c>
      <c r="D137">
        <v>0</v>
      </c>
      <c r="E137">
        <v>-3.6858</v>
      </c>
      <c r="F137">
        <v>0</v>
      </c>
      <c r="G137">
        <v>-2.8555999999999999</v>
      </c>
      <c r="H137">
        <v>8.2918739635157498E-3</v>
      </c>
      <c r="I137">
        <v>4.1459369817578697E-3</v>
      </c>
      <c r="J137">
        <v>1.0779436152570401E-2</v>
      </c>
      <c r="K137">
        <v>7.4879999999999999E-3</v>
      </c>
      <c r="L137">
        <v>7.4879999999999999E-3</v>
      </c>
      <c r="M137">
        <v>9.9749999999999995E-3</v>
      </c>
      <c r="N137">
        <v>5367.5</v>
      </c>
      <c r="O137">
        <v>209.5</v>
      </c>
      <c r="Q137">
        <f t="shared" si="8"/>
        <v>0</v>
      </c>
      <c r="R137">
        <f t="shared" si="9"/>
        <v>-3.3226666666666667</v>
      </c>
      <c r="S137">
        <f t="shared" si="10"/>
        <v>7.7390823659480067E-3</v>
      </c>
      <c r="T137">
        <f t="shared" si="11"/>
        <v>8.3169999999999997E-3</v>
      </c>
    </row>
    <row r="138" spans="1:20" x14ac:dyDescent="0.3">
      <c r="A138">
        <v>280</v>
      </c>
      <c r="B138">
        <v>0</v>
      </c>
      <c r="C138">
        <v>-3.2650999999999999</v>
      </c>
      <c r="D138">
        <v>0</v>
      </c>
      <c r="E138">
        <v>-3.5466000000000002</v>
      </c>
      <c r="F138">
        <v>0</v>
      </c>
      <c r="G138">
        <v>-2.8572000000000002</v>
      </c>
      <c r="H138">
        <v>7.4626865671641703E-3</v>
      </c>
      <c r="I138">
        <v>3.3167495854063002E-3</v>
      </c>
      <c r="J138">
        <v>6.6334991708126003E-3</v>
      </c>
      <c r="K138">
        <v>9.1459999999999996E-3</v>
      </c>
      <c r="L138">
        <v>6.6579999999999999E-3</v>
      </c>
      <c r="M138">
        <v>9.9749999999999995E-3</v>
      </c>
      <c r="N138">
        <v>5462.5</v>
      </c>
      <c r="O138">
        <v>218</v>
      </c>
      <c r="Q138">
        <f t="shared" si="8"/>
        <v>0</v>
      </c>
      <c r="R138">
        <f t="shared" si="9"/>
        <v>-3.2229666666666668</v>
      </c>
      <c r="S138">
        <f t="shared" si="10"/>
        <v>5.8043117744610235E-3</v>
      </c>
      <c r="T138">
        <f t="shared" si="11"/>
        <v>8.5929999999999982E-3</v>
      </c>
    </row>
    <row r="139" spans="1:20" x14ac:dyDescent="0.3">
      <c r="A139">
        <v>285</v>
      </c>
      <c r="B139">
        <v>0</v>
      </c>
      <c r="C139">
        <v>-3.2284000000000002</v>
      </c>
      <c r="D139">
        <v>0</v>
      </c>
      <c r="E139">
        <v>-3.4813999999999998</v>
      </c>
      <c r="F139">
        <v>0</v>
      </c>
      <c r="G139">
        <v>-2.8485999999999998</v>
      </c>
      <c r="H139">
        <v>6.6334991708126003E-3</v>
      </c>
      <c r="I139">
        <v>4.1459369817578697E-3</v>
      </c>
      <c r="J139">
        <v>9.9502487562189001E-3</v>
      </c>
      <c r="K139">
        <v>6.6579999999999999E-3</v>
      </c>
      <c r="L139">
        <v>5.829E-3</v>
      </c>
      <c r="M139">
        <v>7.4879999999999999E-3</v>
      </c>
      <c r="N139">
        <v>5487.8</v>
      </c>
      <c r="O139">
        <v>273.98</v>
      </c>
      <c r="Q139">
        <f t="shared" si="8"/>
        <v>0</v>
      </c>
      <c r="R139">
        <f t="shared" si="9"/>
        <v>-3.1861333333333328</v>
      </c>
      <c r="S139">
        <f t="shared" si="10"/>
        <v>6.9098949695964558E-3</v>
      </c>
      <c r="T139">
        <f t="shared" si="11"/>
        <v>6.6583333333333329E-3</v>
      </c>
    </row>
    <row r="140" spans="1:20" x14ac:dyDescent="0.3">
      <c r="A140">
        <v>290</v>
      </c>
      <c r="B140">
        <v>0</v>
      </c>
      <c r="C140">
        <v>-3.1196999999999999</v>
      </c>
      <c r="D140">
        <v>0</v>
      </c>
      <c r="E140">
        <v>-3.4034</v>
      </c>
      <c r="F140">
        <v>0</v>
      </c>
      <c r="G140">
        <v>-2.7524999999999999</v>
      </c>
      <c r="H140">
        <v>7.4626865671641703E-3</v>
      </c>
      <c r="I140">
        <v>4.97512437810945E-3</v>
      </c>
      <c r="J140">
        <v>8.2918739635157498E-3</v>
      </c>
      <c r="K140">
        <v>7.4879999999999999E-3</v>
      </c>
      <c r="L140">
        <v>7.4879999999999999E-3</v>
      </c>
      <c r="M140">
        <v>9.1459999999999996E-3</v>
      </c>
      <c r="N140">
        <v>5374.7</v>
      </c>
      <c r="O140">
        <v>422.05</v>
      </c>
      <c r="Q140">
        <f t="shared" si="8"/>
        <v>0</v>
      </c>
      <c r="R140">
        <f t="shared" si="9"/>
        <v>-3.0918666666666663</v>
      </c>
      <c r="S140">
        <f t="shared" si="10"/>
        <v>6.9098949695964558E-3</v>
      </c>
      <c r="T140">
        <f t="shared" si="11"/>
        <v>8.0406666666666664E-3</v>
      </c>
    </row>
    <row r="141" spans="1:20" x14ac:dyDescent="0.3">
      <c r="A141">
        <v>295</v>
      </c>
      <c r="B141">
        <v>0</v>
      </c>
      <c r="C141">
        <v>-2.9653</v>
      </c>
      <c r="D141">
        <v>0</v>
      </c>
      <c r="E141">
        <v>-3.2391000000000001</v>
      </c>
      <c r="F141">
        <v>0</v>
      </c>
      <c r="G141">
        <v>-2.6446000000000001</v>
      </c>
      <c r="H141">
        <v>1.0779436152570401E-2</v>
      </c>
      <c r="I141">
        <v>4.1459369817578697E-3</v>
      </c>
      <c r="J141">
        <v>1.24378109452736E-2</v>
      </c>
      <c r="K141">
        <v>8.3169999999999997E-3</v>
      </c>
      <c r="L141">
        <v>6.6579999999999999E-3</v>
      </c>
      <c r="M141">
        <v>6.6579999999999999E-3</v>
      </c>
      <c r="N141">
        <v>5347.7</v>
      </c>
      <c r="O141">
        <v>354.67</v>
      </c>
      <c r="Q141">
        <f t="shared" si="8"/>
        <v>0</v>
      </c>
      <c r="R141">
        <f t="shared" si="9"/>
        <v>-2.9496666666666669</v>
      </c>
      <c r="S141">
        <f t="shared" si="10"/>
        <v>9.1210613598672902E-3</v>
      </c>
      <c r="T141">
        <f t="shared" si="11"/>
        <v>7.2109999999999995E-3</v>
      </c>
    </row>
    <row r="142" spans="1:20" x14ac:dyDescent="0.3">
      <c r="A142">
        <v>300</v>
      </c>
      <c r="B142">
        <v>0</v>
      </c>
      <c r="C142">
        <v>-2.7513000000000001</v>
      </c>
      <c r="D142">
        <v>0</v>
      </c>
      <c r="E142">
        <v>-3.0762</v>
      </c>
      <c r="F142">
        <v>0</v>
      </c>
      <c r="G142">
        <v>-2.4832999999999998</v>
      </c>
      <c r="H142">
        <v>8.2918739635157498E-3</v>
      </c>
      <c r="I142">
        <v>5.80431177446102E-3</v>
      </c>
      <c r="J142">
        <v>9.1210613598673301E-3</v>
      </c>
      <c r="K142">
        <v>7.4879999999999999E-3</v>
      </c>
      <c r="L142">
        <v>5.829E-3</v>
      </c>
      <c r="M142">
        <v>7.4879999999999999E-3</v>
      </c>
      <c r="N142">
        <v>5480.1</v>
      </c>
      <c r="O142">
        <v>286.77</v>
      </c>
      <c r="Q142">
        <f t="shared" si="8"/>
        <v>0</v>
      </c>
      <c r="R142">
        <f t="shared" si="9"/>
        <v>-2.7702666666666667</v>
      </c>
      <c r="S142">
        <f t="shared" si="10"/>
        <v>7.7390823659480336E-3</v>
      </c>
      <c r="T142">
        <f t="shared" si="11"/>
        <v>6.9349999999999993E-3</v>
      </c>
    </row>
    <row r="143" spans="1:20" x14ac:dyDescent="0.3">
      <c r="A143">
        <v>305</v>
      </c>
      <c r="B143">
        <v>0</v>
      </c>
      <c r="C143">
        <v>-2.8527</v>
      </c>
      <c r="D143">
        <v>0</v>
      </c>
      <c r="E143">
        <v>-3.0084</v>
      </c>
      <c r="F143">
        <v>0</v>
      </c>
      <c r="G143">
        <v>-2.597</v>
      </c>
      <c r="H143">
        <v>6.6334991708126003E-3</v>
      </c>
      <c r="I143">
        <v>7.4626865671641798E-3</v>
      </c>
      <c r="J143">
        <v>9.1210613598673301E-3</v>
      </c>
      <c r="K143">
        <v>7.4879999999999999E-3</v>
      </c>
      <c r="L143">
        <v>6.6579999999999999E-3</v>
      </c>
      <c r="M143">
        <v>9.1459999999999996E-3</v>
      </c>
      <c r="N143">
        <v>5635.2</v>
      </c>
      <c r="O143">
        <v>293.23</v>
      </c>
      <c r="Q143">
        <f t="shared" si="8"/>
        <v>0</v>
      </c>
      <c r="R143">
        <f t="shared" si="9"/>
        <v>-2.8193666666666668</v>
      </c>
      <c r="S143">
        <f t="shared" si="10"/>
        <v>7.7390823659480371E-3</v>
      </c>
      <c r="T143">
        <f t="shared" si="11"/>
        <v>7.7640000000000001E-3</v>
      </c>
    </row>
    <row r="144" spans="1:20" x14ac:dyDescent="0.3">
      <c r="A144">
        <v>310</v>
      </c>
      <c r="B144">
        <v>0</v>
      </c>
      <c r="C144">
        <v>-2.5924999999999998</v>
      </c>
      <c r="D144">
        <v>0</v>
      </c>
      <c r="E144">
        <v>-2.8582000000000001</v>
      </c>
      <c r="F144">
        <v>0</v>
      </c>
      <c r="G144">
        <v>-2.3544</v>
      </c>
      <c r="H144">
        <v>7.4626865671641703E-3</v>
      </c>
      <c r="I144">
        <v>8.2918739635157498E-3</v>
      </c>
      <c r="J144">
        <v>7.4626865671641703E-3</v>
      </c>
      <c r="K144">
        <v>9.1459999999999996E-3</v>
      </c>
      <c r="L144">
        <v>9.1459999999999996E-3</v>
      </c>
      <c r="M144">
        <v>1.0803999999999999E-2</v>
      </c>
      <c r="N144">
        <v>5563.7</v>
      </c>
      <c r="O144">
        <v>233.05</v>
      </c>
      <c r="Q144">
        <f t="shared" si="8"/>
        <v>0</v>
      </c>
      <c r="R144">
        <f t="shared" si="9"/>
        <v>-2.6016999999999997</v>
      </c>
      <c r="S144">
        <f t="shared" si="10"/>
        <v>7.7390823659480301E-3</v>
      </c>
      <c r="T144">
        <f t="shared" si="11"/>
        <v>9.6986666666666662E-3</v>
      </c>
    </row>
    <row r="145" spans="1:20" x14ac:dyDescent="0.3">
      <c r="A145">
        <v>315</v>
      </c>
      <c r="B145">
        <v>0</v>
      </c>
      <c r="C145">
        <v>-2.4777999999999998</v>
      </c>
      <c r="D145">
        <v>0</v>
      </c>
      <c r="E145">
        <v>-2.7803</v>
      </c>
      <c r="F145">
        <v>0</v>
      </c>
      <c r="G145">
        <v>-2.1815000000000002</v>
      </c>
      <c r="H145">
        <v>7.4626865671641798E-3</v>
      </c>
      <c r="I145">
        <v>5.80431177446102E-3</v>
      </c>
      <c r="J145">
        <v>1.1608623548922E-2</v>
      </c>
      <c r="K145">
        <v>9.9749999999999995E-3</v>
      </c>
      <c r="L145">
        <v>7.4879999999999999E-3</v>
      </c>
      <c r="M145">
        <v>9.1459999999999996E-3</v>
      </c>
      <c r="N145">
        <v>5957.6</v>
      </c>
      <c r="O145">
        <v>263.31</v>
      </c>
      <c r="Q145">
        <f t="shared" si="8"/>
        <v>0</v>
      </c>
      <c r="R145">
        <f t="shared" si="9"/>
        <v>-2.4798666666666667</v>
      </c>
      <c r="S145">
        <f t="shared" si="10"/>
        <v>8.2918739635157324E-3</v>
      </c>
      <c r="T145">
        <f t="shared" si="11"/>
        <v>8.8696666666666663E-3</v>
      </c>
    </row>
    <row r="146" spans="1:20" x14ac:dyDescent="0.3">
      <c r="A146">
        <v>320</v>
      </c>
      <c r="B146">
        <v>0</v>
      </c>
      <c r="C146">
        <v>-2.3187000000000002</v>
      </c>
      <c r="D146">
        <v>0</v>
      </c>
      <c r="E146">
        <v>-2.7736999999999998</v>
      </c>
      <c r="F146">
        <v>0</v>
      </c>
      <c r="G146">
        <v>-2.1524000000000001</v>
      </c>
      <c r="H146">
        <v>9.9502487562189001E-3</v>
      </c>
      <c r="I146">
        <v>6.6334991708126003E-3</v>
      </c>
      <c r="J146">
        <v>1.1608623548922E-2</v>
      </c>
      <c r="K146">
        <v>9.1459999999999996E-3</v>
      </c>
      <c r="L146">
        <v>8.3169999999999997E-3</v>
      </c>
      <c r="M146">
        <v>8.3169999999999997E-3</v>
      </c>
      <c r="N146">
        <v>6030.6</v>
      </c>
      <c r="O146">
        <v>431.62</v>
      </c>
      <c r="Q146">
        <f t="shared" si="8"/>
        <v>0</v>
      </c>
      <c r="R146">
        <f t="shared" si="9"/>
        <v>-2.4149333333333334</v>
      </c>
      <c r="S146">
        <f t="shared" si="10"/>
        <v>9.3974571586511665E-3</v>
      </c>
      <c r="T146">
        <f t="shared" si="11"/>
        <v>8.593333333333333E-3</v>
      </c>
    </row>
    <row r="147" spans="1:20" x14ac:dyDescent="0.3">
      <c r="A147">
        <v>325</v>
      </c>
      <c r="B147">
        <v>0</v>
      </c>
      <c r="C147">
        <v>-0.90190000000000003</v>
      </c>
      <c r="D147">
        <v>0</v>
      </c>
      <c r="E147">
        <v>-2.7292000000000001</v>
      </c>
      <c r="F147">
        <v>0</v>
      </c>
      <c r="G147">
        <v>-2.0558000000000001</v>
      </c>
      <c r="H147">
        <v>8.2918739635157498E-3</v>
      </c>
      <c r="I147">
        <v>4.97512437810945E-3</v>
      </c>
      <c r="J147">
        <v>9.1210613598673301E-3</v>
      </c>
      <c r="K147">
        <v>8.3169999999999997E-3</v>
      </c>
      <c r="L147">
        <v>9.1459999999999996E-3</v>
      </c>
      <c r="M147">
        <v>1.1632999999999999E-2</v>
      </c>
      <c r="N147">
        <v>5982.4</v>
      </c>
      <c r="O147">
        <v>426.95</v>
      </c>
      <c r="Q147">
        <f t="shared" si="8"/>
        <v>0</v>
      </c>
      <c r="R147">
        <f t="shared" si="9"/>
        <v>-1.8956333333333333</v>
      </c>
      <c r="S147">
        <f t="shared" si="10"/>
        <v>7.4626865671641764E-3</v>
      </c>
      <c r="T147">
        <f t="shared" si="11"/>
        <v>9.6986666666666662E-3</v>
      </c>
    </row>
    <row r="148" spans="1:20" x14ac:dyDescent="0.3">
      <c r="A148">
        <v>330</v>
      </c>
      <c r="B148">
        <v>0</v>
      </c>
      <c r="C148">
        <v>-2.1404999999999998</v>
      </c>
      <c r="D148">
        <v>0</v>
      </c>
      <c r="E148">
        <v>-2.4908000000000001</v>
      </c>
      <c r="F148">
        <v>0</v>
      </c>
      <c r="G148">
        <v>-1.9939</v>
      </c>
      <c r="H148">
        <v>1.3266998341625201E-2</v>
      </c>
      <c r="I148">
        <v>6.6334991708126003E-3</v>
      </c>
      <c r="J148">
        <v>1.4925373134328301E-2</v>
      </c>
      <c r="K148">
        <v>1.0803999999999999E-2</v>
      </c>
      <c r="L148">
        <v>7.4879999999999999E-3</v>
      </c>
      <c r="M148">
        <v>1.1632999999999999E-2</v>
      </c>
      <c r="N148">
        <v>6000.4</v>
      </c>
      <c r="O148">
        <v>361.41</v>
      </c>
      <c r="Q148">
        <f t="shared" ref="Q148:Q158" si="12">AVERAGE(B148,D148,F148)</f>
        <v>0</v>
      </c>
      <c r="R148">
        <f t="shared" ref="R148:R158" si="13">AVERAGE(C148,E148,G148)</f>
        <v>-2.2083999999999997</v>
      </c>
      <c r="S148">
        <f t="shared" ref="S148:S158" si="14">AVERAGE(H148:J148)</f>
        <v>1.1608623548922033E-2</v>
      </c>
      <c r="T148">
        <f t="shared" ref="T148:T158" si="15">AVERAGE(K148:M148)</f>
        <v>9.9749999999999995E-3</v>
      </c>
    </row>
    <row r="149" spans="1:20" x14ac:dyDescent="0.3">
      <c r="A149">
        <v>335</v>
      </c>
      <c r="B149">
        <v>5.0000000000000001E-3</v>
      </c>
      <c r="C149">
        <v>-2.0133000000000001</v>
      </c>
      <c r="D149">
        <v>0</v>
      </c>
      <c r="E149">
        <v>-2.3188</v>
      </c>
      <c r="F149">
        <v>0</v>
      </c>
      <c r="G149">
        <v>-1.8465</v>
      </c>
      <c r="H149">
        <v>9.1210613598673301E-3</v>
      </c>
      <c r="I149">
        <v>4.97512437810945E-3</v>
      </c>
      <c r="J149">
        <v>1.1608623548922E-2</v>
      </c>
      <c r="K149">
        <v>1.2463E-2</v>
      </c>
      <c r="L149">
        <v>1.0803999999999999E-2</v>
      </c>
      <c r="M149">
        <v>1.3292E-2</v>
      </c>
      <c r="N149">
        <v>5994.8</v>
      </c>
      <c r="O149">
        <v>282.91000000000003</v>
      </c>
      <c r="Q149">
        <f t="shared" si="12"/>
        <v>1.6666666666666668E-3</v>
      </c>
      <c r="R149">
        <f t="shared" si="13"/>
        <v>-2.0595333333333334</v>
      </c>
      <c r="S149">
        <f t="shared" si="14"/>
        <v>8.5682697622995931E-3</v>
      </c>
      <c r="T149">
        <f t="shared" si="15"/>
        <v>1.2186333333333334E-2</v>
      </c>
    </row>
    <row r="150" spans="1:20" x14ac:dyDescent="0.3">
      <c r="A150">
        <v>340</v>
      </c>
      <c r="B150">
        <v>5.0000000000000001E-3</v>
      </c>
      <c r="C150">
        <v>-1.9077999999999999</v>
      </c>
      <c r="D150">
        <v>0</v>
      </c>
      <c r="E150">
        <v>-2.3748</v>
      </c>
      <c r="F150">
        <v>0</v>
      </c>
      <c r="G150">
        <v>-1.7988</v>
      </c>
      <c r="H150">
        <v>1.4925373134328301E-2</v>
      </c>
      <c r="I150">
        <v>8.2918739635157498E-3</v>
      </c>
      <c r="J150">
        <v>1.65837479270315E-2</v>
      </c>
      <c r="K150">
        <v>1.495E-2</v>
      </c>
      <c r="L150">
        <v>1.1632999999999999E-2</v>
      </c>
      <c r="M150">
        <v>1.0803999999999999E-2</v>
      </c>
      <c r="N150">
        <v>6095.9</v>
      </c>
      <c r="O150">
        <v>304.77</v>
      </c>
      <c r="Q150">
        <f t="shared" si="12"/>
        <v>1.6666666666666668E-3</v>
      </c>
      <c r="R150">
        <f t="shared" si="13"/>
        <v>-2.0271333333333335</v>
      </c>
      <c r="S150">
        <f t="shared" si="14"/>
        <v>1.3266998341625183E-2</v>
      </c>
      <c r="T150">
        <f t="shared" si="15"/>
        <v>1.2462333333333332E-2</v>
      </c>
    </row>
    <row r="151" spans="1:20" x14ac:dyDescent="0.3">
      <c r="A151">
        <v>345</v>
      </c>
      <c r="B151">
        <v>5.0000000000000001E-3</v>
      </c>
      <c r="C151">
        <v>-1.9286000000000001</v>
      </c>
      <c r="D151">
        <v>0</v>
      </c>
      <c r="E151">
        <v>-2.2082999999999999</v>
      </c>
      <c r="F151">
        <v>0</v>
      </c>
      <c r="G151">
        <v>-1.6997</v>
      </c>
      <c r="H151">
        <v>6.6334991708126003E-3</v>
      </c>
      <c r="I151">
        <v>9.9502487562189001E-3</v>
      </c>
      <c r="J151">
        <v>1.1608623548922E-2</v>
      </c>
      <c r="K151">
        <v>1.1632999999999999E-2</v>
      </c>
      <c r="L151">
        <v>9.1459999999999996E-3</v>
      </c>
      <c r="M151">
        <v>9.1459999999999996E-3</v>
      </c>
      <c r="N151">
        <v>5909.3</v>
      </c>
      <c r="O151">
        <v>232.7</v>
      </c>
      <c r="Q151">
        <f t="shared" si="12"/>
        <v>1.6666666666666668E-3</v>
      </c>
      <c r="R151">
        <f t="shared" si="13"/>
        <v>-1.9455333333333333</v>
      </c>
      <c r="S151">
        <f t="shared" si="14"/>
        <v>9.3974571586511665E-3</v>
      </c>
      <c r="T151">
        <f t="shared" si="15"/>
        <v>9.9749999999999995E-3</v>
      </c>
    </row>
    <row r="152" spans="1:20" x14ac:dyDescent="0.3">
      <c r="A152">
        <v>350</v>
      </c>
      <c r="B152">
        <v>5.0000000000000001E-3</v>
      </c>
      <c r="C152">
        <v>-0.70509999999999995</v>
      </c>
      <c r="D152">
        <v>0</v>
      </c>
      <c r="E152">
        <v>-2.1368999999999998</v>
      </c>
      <c r="F152">
        <v>0</v>
      </c>
      <c r="G152">
        <v>-1.7126999999999999</v>
      </c>
      <c r="H152">
        <v>1.40961857379767E-2</v>
      </c>
      <c r="I152">
        <v>7.4626865671641703E-3</v>
      </c>
      <c r="J152">
        <v>1.4925373134328301E-2</v>
      </c>
      <c r="K152">
        <v>1.1632999999999999E-2</v>
      </c>
      <c r="L152">
        <v>9.1459999999999996E-3</v>
      </c>
      <c r="M152">
        <v>9.9749999999999995E-3</v>
      </c>
      <c r="N152">
        <v>6021.8</v>
      </c>
      <c r="O152">
        <v>246.72</v>
      </c>
      <c r="Q152">
        <f t="shared" si="12"/>
        <v>1.6666666666666668E-3</v>
      </c>
      <c r="R152">
        <f t="shared" si="13"/>
        <v>-1.5182333333333331</v>
      </c>
      <c r="S152">
        <f t="shared" si="14"/>
        <v>1.2161415146489723E-2</v>
      </c>
      <c r="T152">
        <f t="shared" si="15"/>
        <v>1.0251333333333333E-2</v>
      </c>
    </row>
    <row r="153" spans="1:20" x14ac:dyDescent="0.3">
      <c r="A153">
        <v>355</v>
      </c>
      <c r="B153">
        <v>5.0000000000000001E-3</v>
      </c>
      <c r="C153">
        <v>-1.6533</v>
      </c>
      <c r="D153">
        <v>0</v>
      </c>
      <c r="E153">
        <v>-1.9930000000000001</v>
      </c>
      <c r="F153">
        <v>0</v>
      </c>
      <c r="G153">
        <v>-1.5887</v>
      </c>
      <c r="H153">
        <v>1.57545605306799E-2</v>
      </c>
      <c r="I153">
        <v>5.80431177446102E-3</v>
      </c>
      <c r="J153">
        <v>1.7412935323382998E-2</v>
      </c>
      <c r="K153">
        <v>1.1632999999999999E-2</v>
      </c>
      <c r="L153">
        <v>8.3169999999999997E-3</v>
      </c>
      <c r="M153">
        <v>1.0803999999999999E-2</v>
      </c>
      <c r="N153">
        <v>6461.4</v>
      </c>
      <c r="O153">
        <v>460.77</v>
      </c>
      <c r="Q153">
        <f t="shared" si="12"/>
        <v>1.6666666666666668E-3</v>
      </c>
      <c r="R153">
        <f t="shared" si="13"/>
        <v>-1.7450000000000001</v>
      </c>
      <c r="S153">
        <f t="shared" si="14"/>
        <v>1.2990602542841305E-2</v>
      </c>
      <c r="T153">
        <f t="shared" si="15"/>
        <v>1.0251333333333333E-2</v>
      </c>
    </row>
    <row r="154" spans="1:20" x14ac:dyDescent="0.3">
      <c r="A154">
        <v>360</v>
      </c>
      <c r="B154">
        <v>0.01</v>
      </c>
      <c r="C154">
        <v>-1.5339</v>
      </c>
      <c r="D154">
        <v>0</v>
      </c>
      <c r="E154">
        <v>-1.9669000000000001</v>
      </c>
      <c r="F154">
        <v>0</v>
      </c>
      <c r="G154">
        <v>-1.4311</v>
      </c>
      <c r="H154">
        <v>1.4925373134328301E-2</v>
      </c>
      <c r="I154">
        <v>7.4626865671641703E-3</v>
      </c>
      <c r="J154">
        <v>1.3266998341625201E-2</v>
      </c>
      <c r="K154">
        <v>1.0803999999999999E-2</v>
      </c>
      <c r="L154">
        <v>7.4879999999999999E-3</v>
      </c>
      <c r="M154">
        <v>1.1632999999999999E-2</v>
      </c>
      <c r="N154">
        <v>6707.9</v>
      </c>
      <c r="O154">
        <v>598.28</v>
      </c>
      <c r="Q154">
        <f t="shared" si="12"/>
        <v>3.3333333333333335E-3</v>
      </c>
      <c r="R154">
        <f t="shared" si="13"/>
        <v>-1.6439666666666666</v>
      </c>
      <c r="S154">
        <f t="shared" si="14"/>
        <v>1.188501934770589E-2</v>
      </c>
      <c r="T154">
        <f t="shared" si="15"/>
        <v>9.9749999999999995E-3</v>
      </c>
    </row>
    <row r="155" spans="1:20" x14ac:dyDescent="0.3">
      <c r="A155">
        <v>365</v>
      </c>
      <c r="B155">
        <v>5.0000000000000001E-3</v>
      </c>
      <c r="C155">
        <v>-1.4782999999999999</v>
      </c>
      <c r="D155">
        <v>0.01</v>
      </c>
      <c r="E155">
        <v>-1.9079999999999999</v>
      </c>
      <c r="F155">
        <v>5.0000000000000001E-3</v>
      </c>
      <c r="G155">
        <v>-1.3220000000000001</v>
      </c>
      <c r="H155">
        <v>1.99004975124378E-2</v>
      </c>
      <c r="I155">
        <v>9.1210613598673301E-3</v>
      </c>
      <c r="J155">
        <v>2.0729684908789299E-2</v>
      </c>
      <c r="K155">
        <v>1.7437999999999999E-2</v>
      </c>
      <c r="L155">
        <v>1.7437999999999999E-2</v>
      </c>
      <c r="M155">
        <v>1.6608999999999999E-2</v>
      </c>
      <c r="N155">
        <v>5109.6000000000004</v>
      </c>
      <c r="O155">
        <v>519.02</v>
      </c>
      <c r="Q155">
        <f t="shared" si="12"/>
        <v>6.6666666666666671E-3</v>
      </c>
      <c r="R155">
        <f t="shared" si="13"/>
        <v>-1.5694333333333332</v>
      </c>
      <c r="S155">
        <f t="shared" si="14"/>
        <v>1.6583747927031475E-2</v>
      </c>
      <c r="T155">
        <f t="shared" si="15"/>
        <v>1.7161666666666665E-2</v>
      </c>
    </row>
    <row r="156" spans="1:20" x14ac:dyDescent="0.3">
      <c r="A156">
        <v>370</v>
      </c>
      <c r="B156">
        <v>0.01</v>
      </c>
      <c r="C156">
        <v>-1.4950000000000001</v>
      </c>
      <c r="D156">
        <v>0.01</v>
      </c>
      <c r="E156">
        <v>-1.7849999999999999</v>
      </c>
      <c r="F156">
        <v>5.0000000000000001E-3</v>
      </c>
      <c r="G156">
        <v>-1.3048</v>
      </c>
      <c r="H156">
        <v>1.99004975124378E-2</v>
      </c>
      <c r="I156">
        <v>1.24378109452736E-2</v>
      </c>
      <c r="J156">
        <v>1.57545605306799E-2</v>
      </c>
      <c r="K156">
        <v>1.4121E-2</v>
      </c>
      <c r="L156">
        <v>1.0803999999999999E-2</v>
      </c>
      <c r="M156">
        <v>1.8266999999999999E-2</v>
      </c>
      <c r="N156">
        <v>4755</v>
      </c>
      <c r="O156">
        <v>433.62</v>
      </c>
      <c r="Q156">
        <f t="shared" si="12"/>
        <v>8.3333333333333332E-3</v>
      </c>
      <c r="R156">
        <f t="shared" si="13"/>
        <v>-1.5282666666666669</v>
      </c>
      <c r="S156">
        <f t="shared" si="14"/>
        <v>1.6030956329463764E-2</v>
      </c>
      <c r="T156">
        <f t="shared" si="15"/>
        <v>1.4397333333333331E-2</v>
      </c>
    </row>
    <row r="157" spans="1:20" x14ac:dyDescent="0.3">
      <c r="A157">
        <v>375</v>
      </c>
      <c r="B157">
        <v>0.01</v>
      </c>
      <c r="C157">
        <v>-1.4410000000000001</v>
      </c>
      <c r="D157">
        <v>1.4999999999999999E-2</v>
      </c>
      <c r="E157">
        <v>-1.7786999999999999</v>
      </c>
      <c r="F157">
        <v>5.0000000000000001E-3</v>
      </c>
      <c r="G157">
        <v>-1.2514000000000001</v>
      </c>
      <c r="H157">
        <v>1.8242122719734601E-2</v>
      </c>
      <c r="I157">
        <v>1.65837479270315E-2</v>
      </c>
      <c r="J157">
        <v>1.57545605306799E-2</v>
      </c>
      <c r="K157">
        <v>1.9095999999999998E-2</v>
      </c>
      <c r="L157">
        <v>1.9924999999999998E-2</v>
      </c>
      <c r="M157">
        <v>2.5729999999999999E-2</v>
      </c>
      <c r="N157">
        <v>4458.3</v>
      </c>
      <c r="O157">
        <v>595.11</v>
      </c>
      <c r="Q157">
        <f t="shared" si="12"/>
        <v>0.01</v>
      </c>
      <c r="R157">
        <f t="shared" si="13"/>
        <v>-1.4903666666666666</v>
      </c>
      <c r="S157">
        <f t="shared" si="14"/>
        <v>1.6860143725815332E-2</v>
      </c>
      <c r="T157">
        <f t="shared" si="15"/>
        <v>2.1583666666666668E-2</v>
      </c>
    </row>
    <row r="158" spans="1:20" x14ac:dyDescent="0.3">
      <c r="A158">
        <v>380</v>
      </c>
      <c r="B158">
        <v>1.4999999999999999E-2</v>
      </c>
      <c r="C158">
        <v>-1.3098000000000001</v>
      </c>
      <c r="D158">
        <v>1.4999999999999999E-2</v>
      </c>
      <c r="E158">
        <v>-1.5750999999999999</v>
      </c>
      <c r="F158">
        <v>0.02</v>
      </c>
      <c r="G158">
        <v>-1.0590999999999999</v>
      </c>
      <c r="H158">
        <v>1.8242122719734601E-2</v>
      </c>
      <c r="I158">
        <v>1.65837479270315E-2</v>
      </c>
      <c r="J158">
        <v>2.4875621890547199E-2</v>
      </c>
      <c r="K158">
        <v>1.4121E-2</v>
      </c>
      <c r="L158">
        <v>1.1632999999999999E-2</v>
      </c>
      <c r="M158">
        <v>2.0754999999999999E-2</v>
      </c>
      <c r="N158">
        <v>4549.3999999999996</v>
      </c>
      <c r="O158">
        <v>391.27</v>
      </c>
      <c r="Q158">
        <f t="shared" si="12"/>
        <v>1.6666666666666666E-2</v>
      </c>
      <c r="R158">
        <f t="shared" si="13"/>
        <v>-1.3146666666666667</v>
      </c>
      <c r="S158">
        <f t="shared" si="14"/>
        <v>1.9900497512437765E-2</v>
      </c>
      <c r="T158">
        <f t="shared" si="15"/>
        <v>1.5502999999999998E-2</v>
      </c>
    </row>
    <row r="161" spans="1:24" x14ac:dyDescent="0.3">
      <c r="A161" t="s">
        <v>35</v>
      </c>
    </row>
    <row r="162" spans="1:24" x14ac:dyDescent="0.3">
      <c r="D162" t="s">
        <v>6</v>
      </c>
      <c r="I162" t="s">
        <v>7</v>
      </c>
      <c r="L162" t="s">
        <v>8</v>
      </c>
      <c r="S162" t="s">
        <v>83</v>
      </c>
      <c r="W162" t="s">
        <v>84</v>
      </c>
    </row>
    <row r="163" spans="1:24" x14ac:dyDescent="0.3">
      <c r="A163" t="s">
        <v>85</v>
      </c>
      <c r="B163" t="s">
        <v>86</v>
      </c>
      <c r="C163" t="s">
        <v>87</v>
      </c>
      <c r="D163" t="s">
        <v>88</v>
      </c>
      <c r="E163" t="s">
        <v>89</v>
      </c>
      <c r="F163" t="s">
        <v>90</v>
      </c>
      <c r="G163" t="s">
        <v>91</v>
      </c>
      <c r="H163" t="s">
        <v>92</v>
      </c>
      <c r="I163" t="s">
        <v>93</v>
      </c>
      <c r="J163" t="s">
        <v>94</v>
      </c>
      <c r="K163" t="s">
        <v>92</v>
      </c>
      <c r="L163" t="s">
        <v>93</v>
      </c>
      <c r="M163" t="s">
        <v>94</v>
      </c>
      <c r="N163" t="s">
        <v>95</v>
      </c>
      <c r="O163" t="s">
        <v>96</v>
      </c>
      <c r="Q163" t="s">
        <v>113</v>
      </c>
      <c r="R163" t="s">
        <v>114</v>
      </c>
      <c r="S163" t="s">
        <v>115</v>
      </c>
      <c r="T163" t="s">
        <v>116</v>
      </c>
      <c r="U163" t="s">
        <v>101</v>
      </c>
      <c r="V163" t="s">
        <v>102</v>
      </c>
      <c r="W163" t="s">
        <v>7</v>
      </c>
      <c r="X163" t="s">
        <v>8</v>
      </c>
    </row>
    <row r="164" spans="1:24" x14ac:dyDescent="0.3">
      <c r="A164">
        <v>10</v>
      </c>
      <c r="B164">
        <v>2.3E-2</v>
      </c>
      <c r="C164">
        <v>-0.14030000000000001</v>
      </c>
      <c r="D164">
        <v>0.02</v>
      </c>
      <c r="E164">
        <v>-0.1585</v>
      </c>
      <c r="F164">
        <v>0.02</v>
      </c>
      <c r="G164">
        <v>-0.1167</v>
      </c>
      <c r="H164">
        <v>0.109634551495016</v>
      </c>
      <c r="I164">
        <v>9.3576965669988896E-2</v>
      </c>
      <c r="J164">
        <v>0.10022148394241399</v>
      </c>
      <c r="K164">
        <v>5.0958000000000003E-2</v>
      </c>
      <c r="L164">
        <v>4.0437000000000001E-2</v>
      </c>
      <c r="M164">
        <v>5.0958000000000003E-2</v>
      </c>
      <c r="N164">
        <v>1458.9</v>
      </c>
      <c r="O164">
        <v>145.97999999999999</v>
      </c>
      <c r="Q164">
        <f t="shared" ref="Q164:Q227" si="16">AVERAGE(B164,D164,F164)</f>
        <v>2.1000000000000001E-2</v>
      </c>
      <c r="R164">
        <f t="shared" ref="R164:R227" si="17">AVERAGE(C164,E164,G164)</f>
        <v>-0.13849999999999998</v>
      </c>
      <c r="S164">
        <f t="shared" ref="S164:S227" si="18">AVERAGE(H164:J164)</f>
        <v>0.10114433370247296</v>
      </c>
      <c r="T164">
        <f t="shared" ref="T164:T227" si="19">AVERAGE(K164:M164)</f>
        <v>4.7451E-2</v>
      </c>
      <c r="U164">
        <v>0</v>
      </c>
      <c r="V164">
        <f>MIN(R187:R238)</f>
        <v>-8.2379333333333324</v>
      </c>
      <c r="W164">
        <f>MIN(S164:S238)</f>
        <v>7.5673680324843074E-3</v>
      </c>
      <c r="X164">
        <f>MIN(T164:T238)</f>
        <v>5.0000000000000001E-3</v>
      </c>
    </row>
    <row r="165" spans="1:24" x14ac:dyDescent="0.3">
      <c r="A165">
        <v>15</v>
      </c>
      <c r="B165">
        <v>7.0000000000000001E-3</v>
      </c>
      <c r="C165">
        <v>-0.15790000000000001</v>
      </c>
      <c r="D165">
        <v>0.01</v>
      </c>
      <c r="E165">
        <v>-0.2571</v>
      </c>
      <c r="F165">
        <v>3.0000000000000001E-3</v>
      </c>
      <c r="G165">
        <v>-0.184</v>
      </c>
      <c r="H165">
        <v>0.100775193798449</v>
      </c>
      <c r="I165">
        <v>8.5825027685492702E-2</v>
      </c>
      <c r="J165">
        <v>0.10022148394241399</v>
      </c>
      <c r="K165">
        <v>3.4347000000000003E-2</v>
      </c>
      <c r="L165">
        <v>3.0471000000000002E-2</v>
      </c>
      <c r="M165">
        <v>3.3238999999999998E-2</v>
      </c>
      <c r="N165">
        <v>1598.6</v>
      </c>
      <c r="O165">
        <v>156.16</v>
      </c>
      <c r="Q165">
        <f t="shared" si="16"/>
        <v>6.6666666666666671E-3</v>
      </c>
      <c r="R165">
        <f t="shared" si="17"/>
        <v>-0.19966666666666666</v>
      </c>
      <c r="S165">
        <f t="shared" si="18"/>
        <v>9.5607235142118566E-2</v>
      </c>
      <c r="T165">
        <f t="shared" si="19"/>
        <v>3.2685666666666668E-2</v>
      </c>
      <c r="V165" t="s">
        <v>117</v>
      </c>
      <c r="W165" t="s">
        <v>118</v>
      </c>
      <c r="X165" t="s">
        <v>119</v>
      </c>
    </row>
    <row r="166" spans="1:24" x14ac:dyDescent="0.3">
      <c r="A166">
        <v>20</v>
      </c>
      <c r="B166">
        <v>3.6999999999999998E-2</v>
      </c>
      <c r="C166">
        <v>-0.1008</v>
      </c>
      <c r="D166">
        <v>2.7E-2</v>
      </c>
      <c r="E166">
        <v>-0.1976</v>
      </c>
      <c r="F166">
        <v>4.2999999999999997E-2</v>
      </c>
      <c r="G166">
        <v>-8.9300000000000004E-2</v>
      </c>
      <c r="H166">
        <v>0.14839424141749699</v>
      </c>
      <c r="I166">
        <v>0.13012181616832699</v>
      </c>
      <c r="J166">
        <v>0.146179401993355</v>
      </c>
      <c r="K166">
        <v>4.7081999999999999E-2</v>
      </c>
      <c r="L166">
        <v>3.7115000000000002E-2</v>
      </c>
      <c r="M166">
        <v>4.8743000000000002E-2</v>
      </c>
      <c r="N166">
        <v>1701.3</v>
      </c>
      <c r="O166">
        <v>158.19999999999999</v>
      </c>
      <c r="Q166">
        <f t="shared" si="16"/>
        <v>3.5666666666666666E-2</v>
      </c>
      <c r="R166">
        <f t="shared" si="17"/>
        <v>-0.12923333333333334</v>
      </c>
      <c r="S166">
        <f t="shared" si="18"/>
        <v>0.14156515319305965</v>
      </c>
      <c r="T166">
        <f t="shared" si="19"/>
        <v>4.4313333333333337E-2</v>
      </c>
    </row>
    <row r="167" spans="1:24" x14ac:dyDescent="0.3">
      <c r="A167">
        <v>25</v>
      </c>
      <c r="B167">
        <v>2.7E-2</v>
      </c>
      <c r="C167">
        <v>-0.1401</v>
      </c>
      <c r="D167">
        <v>1.2999999999999999E-2</v>
      </c>
      <c r="E167">
        <v>-0.27329999999999999</v>
      </c>
      <c r="F167">
        <v>2.3E-2</v>
      </c>
      <c r="G167">
        <v>-0.1507</v>
      </c>
      <c r="H167">
        <v>0.16832779623477201</v>
      </c>
      <c r="I167">
        <v>0.15780730897009901</v>
      </c>
      <c r="J167">
        <v>0.17829457364341</v>
      </c>
      <c r="K167">
        <v>4.0437000000000001E-2</v>
      </c>
      <c r="L167">
        <v>2.9916999999999999E-2</v>
      </c>
      <c r="M167">
        <v>4.0437000000000001E-2</v>
      </c>
      <c r="N167">
        <v>1785.6</v>
      </c>
      <c r="O167">
        <v>164.39</v>
      </c>
      <c r="Q167">
        <f t="shared" si="16"/>
        <v>2.1000000000000001E-2</v>
      </c>
      <c r="R167">
        <f t="shared" si="17"/>
        <v>-0.18803333333333336</v>
      </c>
      <c r="S167">
        <f t="shared" si="18"/>
        <v>0.16814322628276032</v>
      </c>
      <c r="T167">
        <f t="shared" si="19"/>
        <v>3.6930333333333336E-2</v>
      </c>
    </row>
    <row r="168" spans="1:24" x14ac:dyDescent="0.3">
      <c r="A168">
        <v>30</v>
      </c>
      <c r="B168">
        <v>2.7E-2</v>
      </c>
      <c r="C168">
        <v>-0.16520000000000001</v>
      </c>
      <c r="D168">
        <v>1.2999999999999999E-2</v>
      </c>
      <c r="E168">
        <v>-0.2767</v>
      </c>
      <c r="F168">
        <v>0.02</v>
      </c>
      <c r="G168">
        <v>-0.2077</v>
      </c>
      <c r="H168">
        <v>0.141749723145071</v>
      </c>
      <c r="I168">
        <v>0.167774086378737</v>
      </c>
      <c r="J168">
        <v>0.15503875968992201</v>
      </c>
      <c r="K168">
        <v>4.0991E-2</v>
      </c>
      <c r="L168">
        <v>3.1023999999999999E-2</v>
      </c>
      <c r="M168">
        <v>4.0991E-2</v>
      </c>
      <c r="N168">
        <v>1868.2</v>
      </c>
      <c r="O168">
        <v>161.63999999999999</v>
      </c>
      <c r="Q168">
        <f t="shared" si="16"/>
        <v>0.02</v>
      </c>
      <c r="R168">
        <f t="shared" si="17"/>
        <v>-0.21653333333333333</v>
      </c>
      <c r="S168">
        <f t="shared" si="18"/>
        <v>0.15485418973790999</v>
      </c>
      <c r="T168">
        <f t="shared" si="19"/>
        <v>3.7668666666666663E-2</v>
      </c>
    </row>
    <row r="169" spans="1:24" x14ac:dyDescent="0.3">
      <c r="A169">
        <v>35</v>
      </c>
      <c r="B169">
        <v>2.3E-2</v>
      </c>
      <c r="C169">
        <v>-0.2954</v>
      </c>
      <c r="D169">
        <v>1.2999999999999999E-2</v>
      </c>
      <c r="E169">
        <v>-0.42009999999999997</v>
      </c>
      <c r="F169">
        <v>1.7000000000000001E-2</v>
      </c>
      <c r="G169">
        <v>-0.36770000000000003</v>
      </c>
      <c r="H169">
        <v>0.175526024363233</v>
      </c>
      <c r="I169">
        <v>0.135658914728682</v>
      </c>
      <c r="J169">
        <v>0.18493909191583599</v>
      </c>
      <c r="K169">
        <v>3.6561000000000003E-2</v>
      </c>
      <c r="L169">
        <v>2.5486999999999999E-2</v>
      </c>
      <c r="M169">
        <v>3.2684999999999999E-2</v>
      </c>
      <c r="N169">
        <v>1956.9</v>
      </c>
      <c r="O169">
        <v>159.84</v>
      </c>
      <c r="Q169">
        <f t="shared" si="16"/>
        <v>1.7666666666666667E-2</v>
      </c>
      <c r="R169">
        <f t="shared" si="17"/>
        <v>-0.3610666666666667</v>
      </c>
      <c r="S169">
        <f t="shared" si="18"/>
        <v>0.16537467700258368</v>
      </c>
      <c r="T169">
        <f t="shared" si="19"/>
        <v>3.1577666666666671E-2</v>
      </c>
    </row>
    <row r="170" spans="1:24" x14ac:dyDescent="0.3">
      <c r="A170">
        <v>40</v>
      </c>
      <c r="B170">
        <v>1.2999999999999999E-2</v>
      </c>
      <c r="C170">
        <v>-0.317</v>
      </c>
      <c r="D170">
        <v>1.7000000000000001E-2</v>
      </c>
      <c r="E170">
        <v>-0.43090000000000001</v>
      </c>
      <c r="F170">
        <v>1.7000000000000001E-2</v>
      </c>
      <c r="G170">
        <v>-0.3407</v>
      </c>
      <c r="H170">
        <v>0.15836101882613501</v>
      </c>
      <c r="I170">
        <v>0.17386489479512701</v>
      </c>
      <c r="J170">
        <v>0.138981173864894</v>
      </c>
      <c r="K170">
        <v>3.3792999999999997E-2</v>
      </c>
      <c r="L170">
        <v>2.2165000000000001E-2</v>
      </c>
      <c r="M170">
        <v>3.49E-2</v>
      </c>
      <c r="N170">
        <v>2018.6</v>
      </c>
      <c r="O170">
        <v>171.77</v>
      </c>
      <c r="Q170">
        <f t="shared" si="16"/>
        <v>1.5666666666666666E-2</v>
      </c>
      <c r="R170">
        <f t="shared" si="17"/>
        <v>-0.36286666666666667</v>
      </c>
      <c r="S170">
        <f t="shared" si="18"/>
        <v>0.15706902916205201</v>
      </c>
      <c r="T170">
        <f t="shared" si="19"/>
        <v>3.0285999999999997E-2</v>
      </c>
    </row>
    <row r="171" spans="1:24" x14ac:dyDescent="0.3">
      <c r="A171">
        <v>45</v>
      </c>
      <c r="B171">
        <v>0.02</v>
      </c>
      <c r="C171">
        <v>-0.36799999999999999</v>
      </c>
      <c r="D171">
        <v>1.2999999999999999E-2</v>
      </c>
      <c r="E171">
        <v>-0.43890000000000001</v>
      </c>
      <c r="F171">
        <v>1.7000000000000001E-2</v>
      </c>
      <c r="G171">
        <v>-0.40229999999999999</v>
      </c>
      <c r="H171">
        <v>0.17220376522702099</v>
      </c>
      <c r="I171">
        <v>0.14285714285714199</v>
      </c>
      <c r="J171">
        <v>0.14562569213731999</v>
      </c>
      <c r="K171">
        <v>3.6561000000000003E-2</v>
      </c>
      <c r="L171">
        <v>2.6595000000000001E-2</v>
      </c>
      <c r="M171">
        <v>3.7115000000000002E-2</v>
      </c>
      <c r="N171">
        <v>2122.4</v>
      </c>
      <c r="O171">
        <v>178.52</v>
      </c>
      <c r="Q171">
        <f t="shared" si="16"/>
        <v>1.6666666666666666E-2</v>
      </c>
      <c r="R171">
        <f t="shared" si="17"/>
        <v>-0.40306666666666668</v>
      </c>
      <c r="S171">
        <f t="shared" si="18"/>
        <v>0.15356220007382768</v>
      </c>
      <c r="T171">
        <f t="shared" si="19"/>
        <v>3.3423666666666664E-2</v>
      </c>
    </row>
    <row r="172" spans="1:24" x14ac:dyDescent="0.3">
      <c r="A172">
        <v>50</v>
      </c>
      <c r="B172">
        <v>2.7E-2</v>
      </c>
      <c r="C172">
        <v>-0.35610000000000003</v>
      </c>
      <c r="D172">
        <v>1.7000000000000001E-2</v>
      </c>
      <c r="E172">
        <v>-0.70479999999999998</v>
      </c>
      <c r="F172">
        <v>2.7E-2</v>
      </c>
      <c r="G172">
        <v>-0.37159999999999999</v>
      </c>
      <c r="H172">
        <v>0.177740863787375</v>
      </c>
      <c r="I172">
        <v>0.156699889258028</v>
      </c>
      <c r="J172">
        <v>0.17331118493909101</v>
      </c>
      <c r="K172">
        <v>3.7669000000000001E-2</v>
      </c>
      <c r="L172">
        <v>2.7147999999999999E-2</v>
      </c>
      <c r="M172">
        <v>3.5453999999999999E-2</v>
      </c>
      <c r="N172">
        <v>2204.6999999999998</v>
      </c>
      <c r="O172">
        <v>182.11</v>
      </c>
      <c r="Q172">
        <f t="shared" si="16"/>
        <v>2.3666666666666666E-2</v>
      </c>
      <c r="R172">
        <f t="shared" si="17"/>
        <v>-0.47749999999999998</v>
      </c>
      <c r="S172">
        <f t="shared" si="18"/>
        <v>0.16925064599483133</v>
      </c>
      <c r="T172">
        <f t="shared" si="19"/>
        <v>3.3423666666666664E-2</v>
      </c>
    </row>
    <row r="173" spans="1:24" x14ac:dyDescent="0.3">
      <c r="A173">
        <v>55</v>
      </c>
      <c r="B173">
        <v>2.3E-2</v>
      </c>
      <c r="C173">
        <v>-0.33750000000000002</v>
      </c>
      <c r="D173">
        <v>0.01</v>
      </c>
      <c r="E173">
        <v>-0.55159999999999998</v>
      </c>
      <c r="F173">
        <v>2.3E-2</v>
      </c>
      <c r="G173">
        <v>-0.3921</v>
      </c>
      <c r="H173">
        <v>0.16168327796234699</v>
      </c>
      <c r="I173">
        <v>0.10520487264673301</v>
      </c>
      <c r="J173">
        <v>0.17165005537098499</v>
      </c>
      <c r="K173">
        <v>3.7669000000000001E-2</v>
      </c>
      <c r="L173">
        <v>2.6041000000000002E-2</v>
      </c>
      <c r="M173">
        <v>3.6561000000000003E-2</v>
      </c>
      <c r="N173">
        <v>2270.8000000000002</v>
      </c>
      <c r="O173">
        <v>179.47</v>
      </c>
      <c r="Q173">
        <f t="shared" si="16"/>
        <v>1.8666666666666668E-2</v>
      </c>
      <c r="R173">
        <f t="shared" si="17"/>
        <v>-0.42706666666666671</v>
      </c>
      <c r="S173">
        <f t="shared" si="18"/>
        <v>0.146179401993355</v>
      </c>
      <c r="T173">
        <f t="shared" si="19"/>
        <v>3.3423666666666664E-2</v>
      </c>
    </row>
    <row r="174" spans="1:24" x14ac:dyDescent="0.3">
      <c r="A174">
        <v>60</v>
      </c>
      <c r="B174">
        <v>1.7000000000000001E-2</v>
      </c>
      <c r="C174">
        <v>-0.43519999999999998</v>
      </c>
      <c r="D174">
        <v>0.01</v>
      </c>
      <c r="E174">
        <v>-0.6</v>
      </c>
      <c r="F174">
        <v>1.7000000000000001E-2</v>
      </c>
      <c r="G174">
        <v>-0.4536</v>
      </c>
      <c r="H174">
        <v>0.156699889258028</v>
      </c>
      <c r="I174">
        <v>0.111295681063122</v>
      </c>
      <c r="J174">
        <v>0.177740863787375</v>
      </c>
      <c r="K174">
        <v>3.4347000000000003E-2</v>
      </c>
      <c r="L174">
        <v>2.4934000000000001E-2</v>
      </c>
      <c r="M174">
        <v>3.2132000000000001E-2</v>
      </c>
      <c r="N174">
        <v>2355.1999999999998</v>
      </c>
      <c r="O174">
        <v>179.2</v>
      </c>
      <c r="Q174">
        <f t="shared" si="16"/>
        <v>1.4666666666666668E-2</v>
      </c>
      <c r="R174">
        <f t="shared" si="17"/>
        <v>-0.49626666666666663</v>
      </c>
      <c r="S174">
        <f t="shared" si="18"/>
        <v>0.14857881136950835</v>
      </c>
      <c r="T174">
        <f t="shared" si="19"/>
        <v>3.0470999999999998E-2</v>
      </c>
    </row>
    <row r="175" spans="1:24" x14ac:dyDescent="0.3">
      <c r="A175">
        <v>65</v>
      </c>
      <c r="B175">
        <v>0.02</v>
      </c>
      <c r="C175">
        <v>-0.39629999999999999</v>
      </c>
      <c r="D175">
        <v>0.01</v>
      </c>
      <c r="E175">
        <v>-0.61339999999999995</v>
      </c>
      <c r="F175">
        <v>0.02</v>
      </c>
      <c r="G175">
        <v>-0.39629999999999999</v>
      </c>
      <c r="H175">
        <v>0.152270210409745</v>
      </c>
      <c r="I175">
        <v>0.15337763012181599</v>
      </c>
      <c r="J175">
        <v>0.13676633444075301</v>
      </c>
      <c r="K175">
        <v>2.9916999999999999E-2</v>
      </c>
      <c r="L175">
        <v>2.1058E-2</v>
      </c>
      <c r="M175">
        <v>2.9916999999999999E-2</v>
      </c>
      <c r="N175">
        <v>2455.1999999999998</v>
      </c>
      <c r="O175">
        <v>208.08</v>
      </c>
      <c r="Q175">
        <f t="shared" si="16"/>
        <v>1.6666666666666666E-2</v>
      </c>
      <c r="R175">
        <f t="shared" si="17"/>
        <v>-0.46866666666666673</v>
      </c>
      <c r="S175">
        <f t="shared" si="18"/>
        <v>0.14747139165743803</v>
      </c>
      <c r="T175">
        <f t="shared" si="19"/>
        <v>2.6963999999999998E-2</v>
      </c>
    </row>
    <row r="176" spans="1:24" x14ac:dyDescent="0.3">
      <c r="A176">
        <v>70</v>
      </c>
      <c r="B176">
        <v>1.7000000000000001E-2</v>
      </c>
      <c r="C176">
        <v>-0.46899999999999997</v>
      </c>
      <c r="D176">
        <v>3.0000000000000001E-3</v>
      </c>
      <c r="E176">
        <v>-0.67589999999999995</v>
      </c>
      <c r="F176">
        <v>1.2999999999999999E-2</v>
      </c>
      <c r="G176">
        <v>-0.49440000000000001</v>
      </c>
      <c r="H176">
        <v>0.13289036544850399</v>
      </c>
      <c r="I176">
        <v>0.112403100775193</v>
      </c>
      <c r="J176">
        <v>0.175526024363233</v>
      </c>
      <c r="K176">
        <v>3.2684999999999999E-2</v>
      </c>
      <c r="L176">
        <v>2.2165000000000001E-2</v>
      </c>
      <c r="M176">
        <v>3.1023999999999999E-2</v>
      </c>
      <c r="N176">
        <v>2546.6</v>
      </c>
      <c r="O176">
        <v>202.88</v>
      </c>
      <c r="Q176">
        <f t="shared" si="16"/>
        <v>1.1000000000000001E-2</v>
      </c>
      <c r="R176">
        <f t="shared" si="17"/>
        <v>-0.54643333333333322</v>
      </c>
      <c r="S176">
        <f t="shared" si="18"/>
        <v>0.14027316352897667</v>
      </c>
      <c r="T176">
        <f t="shared" si="19"/>
        <v>2.8624666666666663E-2</v>
      </c>
    </row>
    <row r="177" spans="1:20" x14ac:dyDescent="0.3">
      <c r="A177">
        <v>75</v>
      </c>
      <c r="B177">
        <v>1.2999999999999999E-2</v>
      </c>
      <c r="C177">
        <v>-0.52429999999999999</v>
      </c>
      <c r="D177">
        <v>0</v>
      </c>
      <c r="E177">
        <v>-0.73670000000000002</v>
      </c>
      <c r="F177">
        <v>0.01</v>
      </c>
      <c r="G177">
        <v>-0.55579999999999996</v>
      </c>
      <c r="H177">
        <v>0.14341085271317799</v>
      </c>
      <c r="I177">
        <v>0.119047619047619</v>
      </c>
      <c r="J177">
        <v>0.124031007751938</v>
      </c>
      <c r="K177">
        <v>2.9916999999999999E-2</v>
      </c>
      <c r="L177">
        <v>1.9396E-2</v>
      </c>
      <c r="M177">
        <v>2.6041000000000002E-2</v>
      </c>
      <c r="N177">
        <v>2620.5</v>
      </c>
      <c r="O177">
        <v>197.59</v>
      </c>
      <c r="Q177">
        <f t="shared" si="16"/>
        <v>7.6666666666666662E-3</v>
      </c>
      <c r="R177">
        <f t="shared" si="17"/>
        <v>-0.60560000000000003</v>
      </c>
      <c r="S177">
        <f t="shared" si="18"/>
        <v>0.12882982650424499</v>
      </c>
      <c r="T177">
        <f t="shared" si="19"/>
        <v>2.5118000000000001E-2</v>
      </c>
    </row>
    <row r="178" spans="1:20" x14ac:dyDescent="0.3">
      <c r="A178">
        <v>80</v>
      </c>
      <c r="B178">
        <v>0.01</v>
      </c>
      <c r="C178">
        <v>-0.63629999999999998</v>
      </c>
      <c r="D178">
        <v>0</v>
      </c>
      <c r="E178">
        <v>-0.81920000000000004</v>
      </c>
      <c r="F178">
        <v>7.0000000000000001E-3</v>
      </c>
      <c r="G178">
        <v>-0.64729999999999999</v>
      </c>
      <c r="H178">
        <v>0.105758582502768</v>
      </c>
      <c r="I178">
        <v>0.108527131782945</v>
      </c>
      <c r="J178">
        <v>0.13399778516057501</v>
      </c>
      <c r="K178">
        <v>2.7147999999999999E-2</v>
      </c>
      <c r="L178">
        <v>1.7735000000000001E-2</v>
      </c>
      <c r="M178">
        <v>2.6595000000000001E-2</v>
      </c>
      <c r="N178">
        <v>2751.8</v>
      </c>
      <c r="O178">
        <v>199.17</v>
      </c>
      <c r="Q178">
        <f t="shared" si="16"/>
        <v>5.6666666666666671E-3</v>
      </c>
      <c r="R178">
        <f t="shared" si="17"/>
        <v>-0.70093333333333341</v>
      </c>
      <c r="S178">
        <f t="shared" si="18"/>
        <v>0.11609449981542934</v>
      </c>
      <c r="T178">
        <f t="shared" si="19"/>
        <v>2.3826E-2</v>
      </c>
    </row>
    <row r="179" spans="1:20" x14ac:dyDescent="0.3">
      <c r="A179">
        <v>85</v>
      </c>
      <c r="B179">
        <v>3.0000000000000001E-3</v>
      </c>
      <c r="C179">
        <v>-0.67959999999999998</v>
      </c>
      <c r="D179">
        <v>0</v>
      </c>
      <c r="E179">
        <v>-0.87170000000000003</v>
      </c>
      <c r="F179">
        <v>0</v>
      </c>
      <c r="G179">
        <v>-0.67959999999999998</v>
      </c>
      <c r="H179">
        <v>0.12956810631229199</v>
      </c>
      <c r="I179">
        <v>0.120155038759689</v>
      </c>
      <c r="J179">
        <v>0.12679955703211501</v>
      </c>
      <c r="K179">
        <v>2.2719E-2</v>
      </c>
      <c r="L179">
        <v>1.4966999999999999E-2</v>
      </c>
      <c r="M179">
        <v>2.1058E-2</v>
      </c>
      <c r="N179">
        <v>2862.7</v>
      </c>
      <c r="O179">
        <v>213.73</v>
      </c>
      <c r="Q179">
        <f t="shared" si="16"/>
        <v>1E-3</v>
      </c>
      <c r="R179">
        <f t="shared" si="17"/>
        <v>-0.74363333333333337</v>
      </c>
      <c r="S179">
        <f t="shared" si="18"/>
        <v>0.12550756736803201</v>
      </c>
      <c r="T179">
        <f t="shared" si="19"/>
        <v>1.9581333333333333E-2</v>
      </c>
    </row>
    <row r="180" spans="1:20" x14ac:dyDescent="0.3">
      <c r="A180">
        <v>90</v>
      </c>
      <c r="B180">
        <v>3.0000000000000001E-3</v>
      </c>
      <c r="C180">
        <v>-0.7117</v>
      </c>
      <c r="D180">
        <v>0</v>
      </c>
      <c r="E180">
        <v>-0.84760000000000002</v>
      </c>
      <c r="F180">
        <v>0</v>
      </c>
      <c r="G180">
        <v>-0.72889999999999999</v>
      </c>
      <c r="H180">
        <v>0.12679955703211501</v>
      </c>
      <c r="I180">
        <v>0.106866002214839</v>
      </c>
      <c r="J180">
        <v>0.124031007751938</v>
      </c>
      <c r="K180">
        <v>2.3826E-2</v>
      </c>
      <c r="L180">
        <v>1.2198000000000001E-2</v>
      </c>
      <c r="M180">
        <v>2.0504000000000001E-2</v>
      </c>
      <c r="N180">
        <v>2951</v>
      </c>
      <c r="O180">
        <v>222.31</v>
      </c>
      <c r="Q180">
        <f t="shared" si="16"/>
        <v>1E-3</v>
      </c>
      <c r="R180">
        <f t="shared" si="17"/>
        <v>-0.76273333333333326</v>
      </c>
      <c r="S180">
        <f t="shared" si="18"/>
        <v>0.11923218899963067</v>
      </c>
      <c r="T180">
        <f t="shared" si="19"/>
        <v>1.8842666666666667E-2</v>
      </c>
    </row>
    <row r="181" spans="1:20" x14ac:dyDescent="0.3">
      <c r="A181">
        <v>95</v>
      </c>
      <c r="B181">
        <v>7.0000000000000001E-3</v>
      </c>
      <c r="C181">
        <v>-0.75919999999999999</v>
      </c>
      <c r="D181">
        <v>0</v>
      </c>
      <c r="E181">
        <v>-0.89419999999999999</v>
      </c>
      <c r="F181">
        <v>3.0000000000000001E-3</v>
      </c>
      <c r="G181">
        <v>-0.74690000000000001</v>
      </c>
      <c r="H181">
        <v>0.127906976744186</v>
      </c>
      <c r="I181">
        <v>9.1362126245847095E-2</v>
      </c>
      <c r="J181">
        <v>0.125692137320044</v>
      </c>
      <c r="K181">
        <v>2.1058E-2</v>
      </c>
      <c r="L181">
        <v>1.2751999999999999E-2</v>
      </c>
      <c r="M181">
        <v>2.0504000000000001E-2</v>
      </c>
      <c r="N181">
        <v>3025.5</v>
      </c>
      <c r="O181">
        <v>220.61</v>
      </c>
      <c r="Q181">
        <f t="shared" si="16"/>
        <v>3.3333333333333335E-3</v>
      </c>
      <c r="R181">
        <f t="shared" si="17"/>
        <v>-0.80010000000000003</v>
      </c>
      <c r="S181">
        <f t="shared" si="18"/>
        <v>0.11498708010335905</v>
      </c>
      <c r="T181">
        <f t="shared" si="19"/>
        <v>1.8104666666666668E-2</v>
      </c>
    </row>
    <row r="182" spans="1:20" x14ac:dyDescent="0.3">
      <c r="A182">
        <v>100</v>
      </c>
      <c r="B182">
        <v>3.0000000000000001E-3</v>
      </c>
      <c r="C182">
        <v>-0.7661</v>
      </c>
      <c r="D182">
        <v>0</v>
      </c>
      <c r="E182">
        <v>-1.4238</v>
      </c>
      <c r="F182">
        <v>0</v>
      </c>
      <c r="G182">
        <v>-0.7661</v>
      </c>
      <c r="H182">
        <v>0.117386489479512</v>
      </c>
      <c r="I182">
        <v>0.10132890365448501</v>
      </c>
      <c r="J182">
        <v>0.13289036544850499</v>
      </c>
      <c r="K182">
        <v>2.1610999999999998E-2</v>
      </c>
      <c r="L182">
        <v>1.2751999999999999E-2</v>
      </c>
      <c r="M182">
        <v>1.9396E-2</v>
      </c>
      <c r="N182">
        <v>3095.9</v>
      </c>
      <c r="O182">
        <v>204.56</v>
      </c>
      <c r="Q182">
        <f t="shared" si="16"/>
        <v>1E-3</v>
      </c>
      <c r="R182">
        <f t="shared" si="17"/>
        <v>-0.98533333333333317</v>
      </c>
      <c r="S182">
        <f t="shared" si="18"/>
        <v>0.11720191952750066</v>
      </c>
      <c r="T182">
        <f t="shared" si="19"/>
        <v>1.7919666666666667E-2</v>
      </c>
    </row>
    <row r="183" spans="1:20" x14ac:dyDescent="0.3">
      <c r="A183">
        <v>105</v>
      </c>
      <c r="B183">
        <v>3.0000000000000001E-3</v>
      </c>
      <c r="C183">
        <v>-0.8004</v>
      </c>
      <c r="D183">
        <v>0</v>
      </c>
      <c r="E183">
        <v>-1.5682</v>
      </c>
      <c r="F183">
        <v>0</v>
      </c>
      <c r="G183">
        <v>-0.8004</v>
      </c>
      <c r="H183">
        <v>9.3576965669988896E-2</v>
      </c>
      <c r="I183">
        <v>8.8593576965669996E-2</v>
      </c>
      <c r="J183">
        <v>0.103543743078626</v>
      </c>
      <c r="K183">
        <v>1.8289E-2</v>
      </c>
      <c r="L183">
        <v>1.2751999999999999E-2</v>
      </c>
      <c r="M183">
        <v>1.6628E-2</v>
      </c>
      <c r="N183">
        <v>3156.4</v>
      </c>
      <c r="O183">
        <v>244.52</v>
      </c>
      <c r="Q183">
        <f t="shared" si="16"/>
        <v>1E-3</v>
      </c>
      <c r="R183">
        <f t="shared" si="17"/>
        <v>-1.0563333333333331</v>
      </c>
      <c r="S183">
        <f t="shared" si="18"/>
        <v>9.5238095238094969E-2</v>
      </c>
      <c r="T183">
        <f t="shared" si="19"/>
        <v>1.5889666666666667E-2</v>
      </c>
    </row>
    <row r="184" spans="1:20" x14ac:dyDescent="0.3">
      <c r="A184">
        <v>110</v>
      </c>
      <c r="B184">
        <v>3.0000000000000001E-3</v>
      </c>
      <c r="C184">
        <v>-0.8488</v>
      </c>
      <c r="D184">
        <v>0</v>
      </c>
      <c r="E184">
        <v>-1.6473</v>
      </c>
      <c r="F184">
        <v>0</v>
      </c>
      <c r="G184">
        <v>-0.8488</v>
      </c>
      <c r="H184">
        <v>0.10520487264673301</v>
      </c>
      <c r="I184">
        <v>9.5238095238095205E-2</v>
      </c>
      <c r="J184">
        <v>0.110188261351052</v>
      </c>
      <c r="K184">
        <v>1.9396E-2</v>
      </c>
      <c r="L184">
        <v>1.2198000000000001E-2</v>
      </c>
      <c r="M184">
        <v>1.7181999999999999E-2</v>
      </c>
      <c r="N184">
        <v>3223.6</v>
      </c>
      <c r="O184">
        <v>272.66000000000003</v>
      </c>
      <c r="Q184">
        <f t="shared" si="16"/>
        <v>1E-3</v>
      </c>
      <c r="R184">
        <f t="shared" si="17"/>
        <v>-1.1149666666666667</v>
      </c>
      <c r="S184">
        <f t="shared" si="18"/>
        <v>0.10354374307862674</v>
      </c>
      <c r="T184">
        <f t="shared" si="19"/>
        <v>1.6258666666666668E-2</v>
      </c>
    </row>
    <row r="185" spans="1:20" x14ac:dyDescent="0.3">
      <c r="A185">
        <v>115</v>
      </c>
      <c r="B185">
        <v>3.0000000000000001E-3</v>
      </c>
      <c r="C185">
        <v>-1.63</v>
      </c>
      <c r="D185">
        <v>0</v>
      </c>
      <c r="E185">
        <v>-1.883</v>
      </c>
      <c r="F185">
        <v>0</v>
      </c>
      <c r="G185">
        <v>-1.63</v>
      </c>
      <c r="H185">
        <v>0.108527131782945</v>
      </c>
      <c r="I185">
        <v>6.6998892580287905E-2</v>
      </c>
      <c r="J185">
        <v>0.102990033222591</v>
      </c>
      <c r="K185">
        <v>1.8289E-2</v>
      </c>
      <c r="L185">
        <v>1.1091E-2</v>
      </c>
      <c r="M185">
        <v>1.6628E-2</v>
      </c>
      <c r="N185">
        <v>3337.3</v>
      </c>
      <c r="O185">
        <v>210.08</v>
      </c>
      <c r="Q185">
        <f t="shared" si="16"/>
        <v>1E-3</v>
      </c>
      <c r="R185">
        <f t="shared" si="17"/>
        <v>-1.7143333333333333</v>
      </c>
      <c r="S185">
        <f t="shared" si="18"/>
        <v>9.2838685861941286E-2</v>
      </c>
      <c r="T185">
        <f t="shared" si="19"/>
        <v>1.5336000000000001E-2</v>
      </c>
    </row>
    <row r="186" spans="1:20" x14ac:dyDescent="0.3">
      <c r="A186">
        <v>120</v>
      </c>
      <c r="B186">
        <v>3.0000000000000001E-3</v>
      </c>
      <c r="C186">
        <v>-1.6878</v>
      </c>
      <c r="D186">
        <v>0</v>
      </c>
      <c r="E186">
        <v>-2.0135000000000001</v>
      </c>
      <c r="F186">
        <v>0</v>
      </c>
      <c r="G186">
        <v>-1.6878</v>
      </c>
      <c r="H186">
        <v>0.10520487264673301</v>
      </c>
      <c r="I186">
        <v>8.7486157253599095E-2</v>
      </c>
      <c r="J186">
        <v>9.6345514950166106E-2</v>
      </c>
      <c r="K186">
        <v>1.6074000000000001E-2</v>
      </c>
      <c r="L186">
        <v>9.4299999999999991E-3</v>
      </c>
      <c r="M186">
        <v>1.4413E-2</v>
      </c>
      <c r="N186">
        <v>3424.2</v>
      </c>
      <c r="O186">
        <v>277.33999999999997</v>
      </c>
      <c r="Q186">
        <f t="shared" si="16"/>
        <v>1E-3</v>
      </c>
      <c r="R186">
        <f t="shared" si="17"/>
        <v>-1.7963666666666667</v>
      </c>
      <c r="S186">
        <f t="shared" si="18"/>
        <v>9.6345514950166078E-2</v>
      </c>
      <c r="T186">
        <f t="shared" si="19"/>
        <v>1.3305666666666667E-2</v>
      </c>
    </row>
    <row r="187" spans="1:20" x14ac:dyDescent="0.3">
      <c r="A187">
        <v>125</v>
      </c>
      <c r="B187">
        <v>0</v>
      </c>
      <c r="C187">
        <v>-1.0439000000000001</v>
      </c>
      <c r="D187">
        <v>0</v>
      </c>
      <c r="E187">
        <v>-2.1080999999999999</v>
      </c>
      <c r="F187">
        <v>0</v>
      </c>
      <c r="G187">
        <v>-1.8461000000000001</v>
      </c>
      <c r="H187">
        <v>7.6965669988925803E-2</v>
      </c>
      <c r="I187">
        <v>7.4750830564784002E-2</v>
      </c>
      <c r="J187">
        <v>9.4130675526024304E-2</v>
      </c>
      <c r="K187">
        <v>1.2198000000000001E-2</v>
      </c>
      <c r="L187">
        <v>9.9830000000000006E-3</v>
      </c>
      <c r="M187">
        <v>1.2198000000000001E-2</v>
      </c>
      <c r="N187">
        <v>2834.6</v>
      </c>
      <c r="O187">
        <v>261.27</v>
      </c>
      <c r="Q187">
        <f t="shared" si="16"/>
        <v>0</v>
      </c>
      <c r="R187">
        <f t="shared" si="17"/>
        <v>-1.6660333333333333</v>
      </c>
      <c r="S187">
        <f t="shared" si="18"/>
        <v>8.1949058693244703E-2</v>
      </c>
      <c r="T187">
        <f t="shared" si="19"/>
        <v>1.1459666666666667E-2</v>
      </c>
    </row>
    <row r="188" spans="1:20" x14ac:dyDescent="0.3">
      <c r="A188">
        <v>130</v>
      </c>
      <c r="B188">
        <v>0</v>
      </c>
      <c r="C188">
        <v>-1.8492999999999999</v>
      </c>
      <c r="D188">
        <v>0</v>
      </c>
      <c r="E188">
        <v>-2.2189999999999999</v>
      </c>
      <c r="F188">
        <v>0</v>
      </c>
      <c r="G188">
        <v>-1.8492999999999999</v>
      </c>
      <c r="H188">
        <v>9.19158361018826E-2</v>
      </c>
      <c r="I188">
        <v>7.5304540420819494E-2</v>
      </c>
      <c r="J188">
        <v>7.1982281284606806E-2</v>
      </c>
      <c r="K188">
        <v>1.4413E-2</v>
      </c>
      <c r="L188">
        <v>9.9830000000000006E-3</v>
      </c>
      <c r="M188">
        <v>1.3306E-2</v>
      </c>
      <c r="N188">
        <v>2250.5</v>
      </c>
      <c r="O188">
        <v>217.41</v>
      </c>
      <c r="Q188">
        <f t="shared" si="16"/>
        <v>0</v>
      </c>
      <c r="R188">
        <f t="shared" si="17"/>
        <v>-1.9725333333333335</v>
      </c>
      <c r="S188">
        <f t="shared" si="18"/>
        <v>7.9734219269102971E-2</v>
      </c>
      <c r="T188">
        <f t="shared" si="19"/>
        <v>1.2567333333333333E-2</v>
      </c>
    </row>
    <row r="189" spans="1:20" x14ac:dyDescent="0.3">
      <c r="A189">
        <v>135</v>
      </c>
      <c r="B189">
        <v>0</v>
      </c>
      <c r="C189">
        <v>-1.9521999999999999</v>
      </c>
      <c r="D189">
        <v>0</v>
      </c>
      <c r="E189">
        <v>-2.3420999999999998</v>
      </c>
      <c r="F189">
        <v>0</v>
      </c>
      <c r="G189">
        <v>-1.9521999999999999</v>
      </c>
      <c r="H189">
        <v>9.8006644518272401E-2</v>
      </c>
      <c r="I189">
        <v>5.9246954595791802E-2</v>
      </c>
      <c r="J189">
        <v>8.6378737541528194E-2</v>
      </c>
      <c r="K189">
        <v>1.4413E-2</v>
      </c>
      <c r="L189">
        <v>9.4299999999999991E-3</v>
      </c>
      <c r="M189">
        <v>1.2198000000000001E-2</v>
      </c>
      <c r="N189">
        <v>2881.6</v>
      </c>
      <c r="O189">
        <v>247.11</v>
      </c>
      <c r="Q189">
        <f t="shared" si="16"/>
        <v>0</v>
      </c>
      <c r="R189">
        <f t="shared" si="17"/>
        <v>-2.0821666666666663</v>
      </c>
      <c r="S189">
        <f t="shared" si="18"/>
        <v>8.1210778885197468E-2</v>
      </c>
      <c r="T189">
        <f t="shared" si="19"/>
        <v>1.2013666666666667E-2</v>
      </c>
    </row>
    <row r="190" spans="1:20" x14ac:dyDescent="0.3">
      <c r="A190">
        <v>140</v>
      </c>
      <c r="B190">
        <v>0</v>
      </c>
      <c r="C190">
        <v>-2.0179</v>
      </c>
      <c r="D190">
        <v>0</v>
      </c>
      <c r="E190">
        <v>-2.3660999999999999</v>
      </c>
      <c r="F190">
        <v>0</v>
      </c>
      <c r="G190">
        <v>-2.0179</v>
      </c>
      <c r="H190">
        <v>8.1949058693244703E-2</v>
      </c>
      <c r="I190">
        <v>7.1428571428571397E-2</v>
      </c>
      <c r="J190">
        <v>8.8039867109634504E-2</v>
      </c>
      <c r="K190">
        <v>1.3859E-2</v>
      </c>
      <c r="L190">
        <v>9.4299999999999991E-3</v>
      </c>
      <c r="M190">
        <v>1.3859E-2</v>
      </c>
      <c r="N190">
        <v>2910.8</v>
      </c>
      <c r="O190">
        <v>326.33</v>
      </c>
      <c r="Q190">
        <f t="shared" si="16"/>
        <v>0</v>
      </c>
      <c r="R190">
        <f t="shared" si="17"/>
        <v>-2.1339666666666668</v>
      </c>
      <c r="S190">
        <f t="shared" si="18"/>
        <v>8.0472499077150206E-2</v>
      </c>
      <c r="T190">
        <f t="shared" si="19"/>
        <v>1.2382666666666667E-2</v>
      </c>
    </row>
    <row r="191" spans="1:20" x14ac:dyDescent="0.3">
      <c r="A191">
        <v>145</v>
      </c>
      <c r="B191">
        <v>0</v>
      </c>
      <c r="C191">
        <v>-2.0628000000000002</v>
      </c>
      <c r="D191">
        <v>0</v>
      </c>
      <c r="E191">
        <v>-2.4186000000000001</v>
      </c>
      <c r="F191">
        <v>0</v>
      </c>
      <c r="G191">
        <v>-2.0628000000000002</v>
      </c>
      <c r="H191">
        <v>7.8626799557032098E-2</v>
      </c>
      <c r="I191">
        <v>6.2015503875968901E-2</v>
      </c>
      <c r="J191">
        <v>8.9147286821705404E-2</v>
      </c>
      <c r="K191">
        <v>1.2751999999999999E-2</v>
      </c>
      <c r="L191">
        <v>8.3219999999999995E-3</v>
      </c>
      <c r="M191">
        <v>1.2198000000000001E-2</v>
      </c>
      <c r="N191">
        <v>3023.7</v>
      </c>
      <c r="O191">
        <v>267.52</v>
      </c>
      <c r="Q191">
        <f t="shared" si="16"/>
        <v>0</v>
      </c>
      <c r="R191">
        <f t="shared" si="17"/>
        <v>-2.1814000000000004</v>
      </c>
      <c r="S191">
        <f t="shared" si="18"/>
        <v>7.6596530084902137E-2</v>
      </c>
      <c r="T191">
        <f t="shared" si="19"/>
        <v>1.1090666666666665E-2</v>
      </c>
    </row>
    <row r="192" spans="1:20" x14ac:dyDescent="0.3">
      <c r="A192">
        <v>150</v>
      </c>
      <c r="B192">
        <v>0</v>
      </c>
      <c r="C192">
        <v>-2.1316999999999999</v>
      </c>
      <c r="D192">
        <v>0</v>
      </c>
      <c r="E192">
        <v>-2.4741</v>
      </c>
      <c r="F192">
        <v>0</v>
      </c>
      <c r="G192">
        <v>-2.1316999999999999</v>
      </c>
      <c r="H192">
        <v>7.3089700996677706E-2</v>
      </c>
      <c r="I192">
        <v>6.3122923588039795E-2</v>
      </c>
      <c r="J192">
        <v>4.7619047619047603E-2</v>
      </c>
      <c r="K192">
        <v>1.3859E-2</v>
      </c>
      <c r="L192">
        <v>8.3219999999999995E-3</v>
      </c>
      <c r="M192">
        <v>1.0536999999999999E-2</v>
      </c>
      <c r="N192">
        <v>3083.3</v>
      </c>
      <c r="O192">
        <v>226.97</v>
      </c>
      <c r="Q192">
        <f t="shared" si="16"/>
        <v>0</v>
      </c>
      <c r="R192">
        <f t="shared" si="17"/>
        <v>-2.2458333333333336</v>
      </c>
      <c r="S192">
        <f t="shared" si="18"/>
        <v>6.1277224067921708E-2</v>
      </c>
      <c r="T192">
        <f t="shared" si="19"/>
        <v>1.0905999999999999E-2</v>
      </c>
    </row>
    <row r="193" spans="1:20" x14ac:dyDescent="0.3">
      <c r="A193">
        <v>155</v>
      </c>
      <c r="B193">
        <v>0</v>
      </c>
      <c r="C193">
        <v>-2.3411</v>
      </c>
      <c r="D193">
        <v>0</v>
      </c>
      <c r="E193">
        <v>-2.6425000000000001</v>
      </c>
      <c r="F193">
        <v>0</v>
      </c>
      <c r="G193">
        <v>-2.2549000000000001</v>
      </c>
      <c r="H193">
        <v>6.3122923588039795E-2</v>
      </c>
      <c r="I193">
        <v>4.4296788482834998E-2</v>
      </c>
      <c r="J193">
        <v>8.0287929125138394E-2</v>
      </c>
      <c r="K193">
        <v>1.1091E-2</v>
      </c>
      <c r="L193">
        <v>8.3219999999999995E-3</v>
      </c>
      <c r="M193">
        <v>1.1091E-2</v>
      </c>
      <c r="N193">
        <v>3233.6</v>
      </c>
      <c r="O193">
        <v>292.97000000000003</v>
      </c>
      <c r="Q193">
        <f t="shared" si="16"/>
        <v>0</v>
      </c>
      <c r="R193">
        <f t="shared" si="17"/>
        <v>-2.4128333333333334</v>
      </c>
      <c r="S193">
        <f t="shared" si="18"/>
        <v>6.25692137320044E-2</v>
      </c>
      <c r="T193">
        <f t="shared" si="19"/>
        <v>1.0168E-2</v>
      </c>
    </row>
    <row r="194" spans="1:20" x14ac:dyDescent="0.3">
      <c r="A194">
        <v>160</v>
      </c>
      <c r="B194">
        <v>0</v>
      </c>
      <c r="C194">
        <v>-2.3159999999999998</v>
      </c>
      <c r="D194">
        <v>0</v>
      </c>
      <c r="E194">
        <v>-2.629</v>
      </c>
      <c r="F194">
        <v>0</v>
      </c>
      <c r="G194">
        <v>-2.3340999999999998</v>
      </c>
      <c r="H194">
        <v>6.9213732004429596E-2</v>
      </c>
      <c r="I194">
        <v>4.1528239202657802E-2</v>
      </c>
      <c r="J194">
        <v>6.1461794019933499E-2</v>
      </c>
      <c r="K194">
        <v>1.1645000000000001E-2</v>
      </c>
      <c r="L194">
        <v>7.2150000000000001E-3</v>
      </c>
      <c r="M194">
        <v>9.9830000000000006E-3</v>
      </c>
      <c r="N194">
        <v>3321.2</v>
      </c>
      <c r="O194">
        <v>290.11</v>
      </c>
      <c r="Q194">
        <f t="shared" si="16"/>
        <v>0</v>
      </c>
      <c r="R194">
        <f t="shared" si="17"/>
        <v>-2.4263666666666666</v>
      </c>
      <c r="S194">
        <f t="shared" si="18"/>
        <v>5.7401255075673639E-2</v>
      </c>
      <c r="T194">
        <f t="shared" si="19"/>
        <v>9.6143333333333341E-3</v>
      </c>
    </row>
    <row r="195" spans="1:20" x14ac:dyDescent="0.3">
      <c r="A195">
        <v>165</v>
      </c>
      <c r="B195">
        <v>0</v>
      </c>
      <c r="C195">
        <v>-2.6368</v>
      </c>
      <c r="D195">
        <v>0</v>
      </c>
      <c r="E195">
        <v>-2.9662000000000002</v>
      </c>
      <c r="F195">
        <v>0</v>
      </c>
      <c r="G195">
        <v>-2.6375999999999999</v>
      </c>
      <c r="H195">
        <v>4.8172757475082997E-2</v>
      </c>
      <c r="I195">
        <v>4.7065337763012097E-2</v>
      </c>
      <c r="J195">
        <v>5.4817275747508297E-2</v>
      </c>
      <c r="K195">
        <v>9.9830000000000006E-3</v>
      </c>
      <c r="L195">
        <v>6.6610000000000003E-3</v>
      </c>
      <c r="M195">
        <v>9.4299999999999991E-3</v>
      </c>
      <c r="N195">
        <v>3445</v>
      </c>
      <c r="O195">
        <v>235.77</v>
      </c>
      <c r="Q195">
        <f t="shared" si="16"/>
        <v>0</v>
      </c>
      <c r="R195">
        <f t="shared" si="17"/>
        <v>-2.746866666666667</v>
      </c>
      <c r="S195">
        <f t="shared" si="18"/>
        <v>5.0018456995201133E-2</v>
      </c>
      <c r="T195">
        <f t="shared" si="19"/>
        <v>8.6913333333333339E-3</v>
      </c>
    </row>
    <row r="196" spans="1:20" x14ac:dyDescent="0.3">
      <c r="A196">
        <v>170</v>
      </c>
      <c r="B196">
        <v>0</v>
      </c>
      <c r="C196">
        <v>-2.6688999999999998</v>
      </c>
      <c r="D196">
        <v>0</v>
      </c>
      <c r="E196">
        <v>-2.9293999999999998</v>
      </c>
      <c r="F196">
        <v>0</v>
      </c>
      <c r="G196">
        <v>-2.6585999999999999</v>
      </c>
      <c r="H196">
        <v>6.3122923588039795E-2</v>
      </c>
      <c r="I196">
        <v>3.32225913621262E-2</v>
      </c>
      <c r="J196">
        <v>5.09413067552602E-2</v>
      </c>
      <c r="K196">
        <v>1.0536999999999999E-2</v>
      </c>
      <c r="L196">
        <v>6.6610000000000003E-3</v>
      </c>
      <c r="M196">
        <v>9.9830000000000006E-3</v>
      </c>
      <c r="N196">
        <v>3619.7</v>
      </c>
      <c r="O196">
        <v>224.69</v>
      </c>
      <c r="Q196">
        <f t="shared" si="16"/>
        <v>0</v>
      </c>
      <c r="R196">
        <f t="shared" si="17"/>
        <v>-2.7523</v>
      </c>
      <c r="S196">
        <f t="shared" si="18"/>
        <v>4.9095607235142065E-2</v>
      </c>
      <c r="T196">
        <f t="shared" si="19"/>
        <v>9.0603333333333317E-3</v>
      </c>
    </row>
    <row r="197" spans="1:20" x14ac:dyDescent="0.3">
      <c r="A197">
        <v>175</v>
      </c>
      <c r="B197">
        <v>0</v>
      </c>
      <c r="C197">
        <v>-2.7054</v>
      </c>
      <c r="D197">
        <v>0</v>
      </c>
      <c r="E197">
        <v>-3.0165000000000002</v>
      </c>
      <c r="F197">
        <v>0</v>
      </c>
      <c r="G197">
        <v>-2.7054</v>
      </c>
      <c r="H197">
        <v>6.0354374307862599E-2</v>
      </c>
      <c r="I197">
        <v>4.4296788482834901E-2</v>
      </c>
      <c r="J197">
        <v>4.7065337763012097E-2</v>
      </c>
      <c r="K197">
        <v>8.8760000000000002E-3</v>
      </c>
      <c r="L197">
        <v>7.7689999999999999E-3</v>
      </c>
      <c r="M197">
        <v>9.4299999999999991E-3</v>
      </c>
      <c r="N197">
        <v>3796.3</v>
      </c>
      <c r="O197">
        <v>276.05</v>
      </c>
      <c r="Q197">
        <f t="shared" si="16"/>
        <v>0</v>
      </c>
      <c r="R197">
        <f t="shared" si="17"/>
        <v>-2.8090999999999995</v>
      </c>
      <c r="S197">
        <f t="shared" si="18"/>
        <v>5.0572166851236534E-2</v>
      </c>
      <c r="T197">
        <f t="shared" si="19"/>
        <v>8.691666666666667E-3</v>
      </c>
    </row>
    <row r="198" spans="1:20" x14ac:dyDescent="0.3">
      <c r="A198">
        <v>180</v>
      </c>
      <c r="B198">
        <v>0</v>
      </c>
      <c r="C198">
        <v>-2.9773999999999998</v>
      </c>
      <c r="D198">
        <v>0</v>
      </c>
      <c r="E198">
        <v>-3.2473999999999998</v>
      </c>
      <c r="F198">
        <v>0</v>
      </c>
      <c r="G198">
        <v>-3.0007999999999999</v>
      </c>
      <c r="H198">
        <v>4.98338870431893E-2</v>
      </c>
      <c r="I198">
        <v>3.7652270210409698E-2</v>
      </c>
      <c r="J198">
        <v>3.7652270210409698E-2</v>
      </c>
      <c r="K198">
        <v>8.8760000000000002E-3</v>
      </c>
      <c r="L198">
        <v>6.1069999999999996E-3</v>
      </c>
      <c r="M198">
        <v>8.3219999999999995E-3</v>
      </c>
      <c r="N198">
        <v>3740</v>
      </c>
      <c r="O198">
        <v>378.11</v>
      </c>
      <c r="Q198">
        <f t="shared" si="16"/>
        <v>0</v>
      </c>
      <c r="R198">
        <f t="shared" si="17"/>
        <v>-3.0752000000000002</v>
      </c>
      <c r="S198">
        <f t="shared" si="18"/>
        <v>4.1712809154669565E-2</v>
      </c>
      <c r="T198">
        <f t="shared" si="19"/>
        <v>7.7683333333333328E-3</v>
      </c>
    </row>
    <row r="199" spans="1:20" x14ac:dyDescent="0.3">
      <c r="A199">
        <v>185</v>
      </c>
      <c r="B199">
        <v>0</v>
      </c>
      <c r="C199">
        <v>-2.9876999999999998</v>
      </c>
      <c r="D199">
        <v>0</v>
      </c>
      <c r="E199">
        <v>-4.3829000000000002</v>
      </c>
      <c r="F199">
        <v>0</v>
      </c>
      <c r="G199">
        <v>-3.5493000000000001</v>
      </c>
      <c r="H199">
        <v>5.8693244739756303E-2</v>
      </c>
      <c r="I199">
        <v>4.3189368770764097E-2</v>
      </c>
      <c r="J199">
        <v>4.98338870431893E-2</v>
      </c>
      <c r="K199">
        <v>9.9830000000000006E-3</v>
      </c>
      <c r="L199">
        <v>7.2150000000000001E-3</v>
      </c>
      <c r="M199">
        <v>9.9830000000000006E-3</v>
      </c>
      <c r="N199">
        <v>3704</v>
      </c>
      <c r="O199">
        <v>316.95</v>
      </c>
      <c r="Q199">
        <f t="shared" si="16"/>
        <v>0</v>
      </c>
      <c r="R199">
        <f t="shared" si="17"/>
        <v>-3.6399666666666666</v>
      </c>
      <c r="S199">
        <f t="shared" si="18"/>
        <v>5.0572166851236562E-2</v>
      </c>
      <c r="T199">
        <f t="shared" si="19"/>
        <v>9.0603333333333352E-3</v>
      </c>
    </row>
    <row r="200" spans="1:20" x14ac:dyDescent="0.3">
      <c r="A200">
        <v>190</v>
      </c>
      <c r="B200">
        <v>0</v>
      </c>
      <c r="C200">
        <v>-3.1242000000000001</v>
      </c>
      <c r="D200">
        <v>0</v>
      </c>
      <c r="E200">
        <v>-4.3198999999999996</v>
      </c>
      <c r="F200">
        <v>0</v>
      </c>
      <c r="G200">
        <v>-3.8462000000000001</v>
      </c>
      <c r="H200">
        <v>3.3776301218161602E-2</v>
      </c>
      <c r="I200">
        <v>3.1561461794019897E-2</v>
      </c>
      <c r="J200">
        <v>4.0420819490586901E-2</v>
      </c>
      <c r="K200">
        <v>8.8760000000000002E-3</v>
      </c>
      <c r="L200">
        <v>6.6610000000000003E-3</v>
      </c>
      <c r="M200">
        <v>8.3219999999999995E-3</v>
      </c>
      <c r="N200">
        <v>3722.8</v>
      </c>
      <c r="O200">
        <v>302.33</v>
      </c>
      <c r="Q200">
        <f t="shared" si="16"/>
        <v>0</v>
      </c>
      <c r="R200">
        <f t="shared" si="17"/>
        <v>-3.7634333333333334</v>
      </c>
      <c r="S200">
        <f t="shared" si="18"/>
        <v>3.5252860834256133E-2</v>
      </c>
      <c r="T200">
        <f t="shared" si="19"/>
        <v>7.953E-3</v>
      </c>
    </row>
    <row r="201" spans="1:20" x14ac:dyDescent="0.3">
      <c r="A201">
        <v>195</v>
      </c>
      <c r="B201">
        <v>0</v>
      </c>
      <c r="C201">
        <v>-3.1684000000000001</v>
      </c>
      <c r="D201">
        <v>0</v>
      </c>
      <c r="E201">
        <v>-4.3112000000000004</v>
      </c>
      <c r="F201">
        <v>0</v>
      </c>
      <c r="G201">
        <v>-3.7039</v>
      </c>
      <c r="H201">
        <v>4.2081949058693197E-2</v>
      </c>
      <c r="I201">
        <v>3.6544850498338798E-2</v>
      </c>
      <c r="J201">
        <v>4.8172757475082997E-2</v>
      </c>
      <c r="K201">
        <v>8.8760000000000002E-3</v>
      </c>
      <c r="L201">
        <v>7.2150000000000001E-3</v>
      </c>
      <c r="M201">
        <v>8.8760000000000002E-3</v>
      </c>
      <c r="N201">
        <v>3988.7</v>
      </c>
      <c r="O201">
        <v>254.62</v>
      </c>
      <c r="Q201">
        <f t="shared" si="16"/>
        <v>0</v>
      </c>
      <c r="R201">
        <f t="shared" si="17"/>
        <v>-3.7278333333333333</v>
      </c>
      <c r="S201">
        <f t="shared" si="18"/>
        <v>4.2266519010704995E-2</v>
      </c>
      <c r="T201">
        <f t="shared" si="19"/>
        <v>8.3223333333333344E-3</v>
      </c>
    </row>
    <row r="202" spans="1:20" x14ac:dyDescent="0.3">
      <c r="A202">
        <v>200</v>
      </c>
      <c r="B202">
        <v>0</v>
      </c>
      <c r="C202">
        <v>-3.3287</v>
      </c>
      <c r="D202">
        <v>0</v>
      </c>
      <c r="E202">
        <v>-4.165</v>
      </c>
      <c r="F202">
        <v>0</v>
      </c>
      <c r="G202">
        <v>-3.7427000000000001</v>
      </c>
      <c r="H202">
        <v>4.4296788482834998E-2</v>
      </c>
      <c r="I202">
        <v>4.0420819490586901E-2</v>
      </c>
      <c r="J202">
        <v>4.4296788482834998E-2</v>
      </c>
      <c r="K202">
        <v>8.3219999999999995E-3</v>
      </c>
      <c r="L202">
        <v>6.6610000000000003E-3</v>
      </c>
      <c r="M202">
        <v>8.8760000000000002E-3</v>
      </c>
      <c r="N202">
        <v>4275.2</v>
      </c>
      <c r="O202">
        <v>442.22</v>
      </c>
      <c r="Q202">
        <f t="shared" si="16"/>
        <v>0</v>
      </c>
      <c r="R202">
        <f t="shared" si="17"/>
        <v>-3.7454666666666667</v>
      </c>
      <c r="S202">
        <f t="shared" si="18"/>
        <v>4.3004798818752299E-2</v>
      </c>
      <c r="T202">
        <f t="shared" si="19"/>
        <v>7.953E-3</v>
      </c>
    </row>
    <row r="203" spans="1:20" x14ac:dyDescent="0.3">
      <c r="A203">
        <v>205</v>
      </c>
      <c r="B203">
        <v>0</v>
      </c>
      <c r="C203">
        <v>-3.3637000000000001</v>
      </c>
      <c r="D203">
        <v>0</v>
      </c>
      <c r="E203">
        <v>-4.3845000000000001</v>
      </c>
      <c r="F203">
        <v>0</v>
      </c>
      <c r="G203">
        <v>-3.8325</v>
      </c>
      <c r="H203">
        <v>3.82059800664451E-2</v>
      </c>
      <c r="I203">
        <v>3.7652270210409698E-2</v>
      </c>
      <c r="J203">
        <v>2.8792912513842701E-2</v>
      </c>
      <c r="K203">
        <v>7.7689999999999999E-3</v>
      </c>
      <c r="L203">
        <v>6.1069999999999996E-3</v>
      </c>
      <c r="M203">
        <v>7.2150000000000001E-3</v>
      </c>
      <c r="N203">
        <v>4457.7</v>
      </c>
      <c r="O203">
        <v>398.3</v>
      </c>
      <c r="Q203">
        <f t="shared" si="16"/>
        <v>0</v>
      </c>
      <c r="R203">
        <f t="shared" si="17"/>
        <v>-3.8602333333333334</v>
      </c>
      <c r="S203">
        <f t="shared" si="18"/>
        <v>3.4883720930232502E-2</v>
      </c>
      <c r="T203">
        <f t="shared" si="19"/>
        <v>7.0303333333333329E-3</v>
      </c>
    </row>
    <row r="204" spans="1:20" x14ac:dyDescent="0.3">
      <c r="A204">
        <v>210</v>
      </c>
      <c r="B204">
        <v>0</v>
      </c>
      <c r="C204">
        <v>-3.3971</v>
      </c>
      <c r="D204">
        <v>0</v>
      </c>
      <c r="E204">
        <v>-4.3160999999999996</v>
      </c>
      <c r="F204">
        <v>0</v>
      </c>
      <c r="G204">
        <v>-3.7544</v>
      </c>
      <c r="H204">
        <v>4.4296788482834998E-2</v>
      </c>
      <c r="I204">
        <v>3.43300110741971E-2</v>
      </c>
      <c r="J204">
        <v>3.43300110741971E-2</v>
      </c>
      <c r="K204">
        <v>8.3219999999999995E-3</v>
      </c>
      <c r="L204">
        <v>6.1069999999999996E-3</v>
      </c>
      <c r="M204">
        <v>8.3219999999999995E-3</v>
      </c>
      <c r="N204">
        <v>4619.5</v>
      </c>
      <c r="O204">
        <v>367.48</v>
      </c>
      <c r="Q204">
        <f t="shared" si="16"/>
        <v>0</v>
      </c>
      <c r="R204">
        <f t="shared" si="17"/>
        <v>-3.8225333333333329</v>
      </c>
      <c r="S204">
        <f t="shared" si="18"/>
        <v>3.7652270210409733E-2</v>
      </c>
      <c r="T204">
        <f t="shared" si="19"/>
        <v>7.5836666666666665E-3</v>
      </c>
    </row>
    <row r="205" spans="1:20" x14ac:dyDescent="0.3">
      <c r="A205">
        <v>215</v>
      </c>
      <c r="B205">
        <v>0</v>
      </c>
      <c r="C205">
        <v>-3.3618000000000001</v>
      </c>
      <c r="D205">
        <v>0</v>
      </c>
      <c r="E205">
        <v>-4.4816000000000003</v>
      </c>
      <c r="F205">
        <v>0</v>
      </c>
      <c r="G205">
        <v>-3.9670999999999998</v>
      </c>
      <c r="H205">
        <v>3.9867109634551402E-2</v>
      </c>
      <c r="I205">
        <v>2.65780730897009E-2</v>
      </c>
      <c r="J205">
        <v>2.9900332225913599E-2</v>
      </c>
      <c r="K205">
        <v>5.5539999999999999E-3</v>
      </c>
      <c r="L205">
        <v>5.0000000000000001E-3</v>
      </c>
      <c r="M205">
        <v>5.0000000000000001E-3</v>
      </c>
      <c r="N205">
        <v>1597.9</v>
      </c>
      <c r="O205">
        <v>427.94</v>
      </c>
      <c r="Q205">
        <f t="shared" si="16"/>
        <v>0</v>
      </c>
      <c r="R205">
        <f t="shared" si="17"/>
        <v>-3.9368333333333339</v>
      </c>
      <c r="S205">
        <f t="shared" si="18"/>
        <v>3.2115171650055299E-2</v>
      </c>
      <c r="T205">
        <f t="shared" si="19"/>
        <v>5.1846666666666673E-3</v>
      </c>
    </row>
    <row r="206" spans="1:20" x14ac:dyDescent="0.3">
      <c r="A206">
        <v>220</v>
      </c>
      <c r="B206">
        <v>0</v>
      </c>
      <c r="C206">
        <v>-3.4447999999999999</v>
      </c>
      <c r="D206">
        <v>0</v>
      </c>
      <c r="E206">
        <v>-4.5145999999999997</v>
      </c>
      <c r="F206">
        <v>0</v>
      </c>
      <c r="G206">
        <v>-4.0580999999999996</v>
      </c>
      <c r="H206">
        <v>3.0454042081949E-2</v>
      </c>
      <c r="I206">
        <v>1.9379844961240299E-2</v>
      </c>
      <c r="J206">
        <v>3.1007751937984399E-2</v>
      </c>
      <c r="K206">
        <v>7.2150000000000001E-3</v>
      </c>
      <c r="L206">
        <v>5.5539999999999999E-3</v>
      </c>
      <c r="M206">
        <v>6.6610000000000003E-3</v>
      </c>
      <c r="N206">
        <v>4034.6</v>
      </c>
      <c r="O206">
        <v>312.58</v>
      </c>
      <c r="Q206">
        <f t="shared" si="16"/>
        <v>0</v>
      </c>
      <c r="R206">
        <f t="shared" si="17"/>
        <v>-4.0058333333333325</v>
      </c>
      <c r="S206">
        <f t="shared" si="18"/>
        <v>2.6947212993724563E-2</v>
      </c>
      <c r="T206">
        <f t="shared" si="19"/>
        <v>6.4766666666666662E-3</v>
      </c>
    </row>
    <row r="207" spans="1:20" x14ac:dyDescent="0.3">
      <c r="A207">
        <v>225</v>
      </c>
      <c r="B207">
        <v>0</v>
      </c>
      <c r="C207">
        <v>-3.9468000000000001</v>
      </c>
      <c r="D207">
        <v>0</v>
      </c>
      <c r="E207">
        <v>-4.6131000000000002</v>
      </c>
      <c r="F207">
        <v>0</v>
      </c>
      <c r="G207">
        <v>-3.9468000000000001</v>
      </c>
      <c r="H207">
        <v>4.3189368770764097E-2</v>
      </c>
      <c r="I207">
        <v>2.0487264673311099E-2</v>
      </c>
      <c r="J207">
        <v>3.5437430786267897E-2</v>
      </c>
      <c r="K207">
        <v>6.1069999999999996E-3</v>
      </c>
      <c r="L207">
        <v>5.5539999999999999E-3</v>
      </c>
      <c r="M207">
        <v>6.1069999999999996E-3</v>
      </c>
      <c r="N207">
        <v>4035.3</v>
      </c>
      <c r="O207">
        <v>532.88</v>
      </c>
      <c r="Q207">
        <f t="shared" si="16"/>
        <v>0</v>
      </c>
      <c r="R207">
        <f t="shared" si="17"/>
        <v>-4.1688999999999998</v>
      </c>
      <c r="S207">
        <f t="shared" si="18"/>
        <v>3.3038021410114367E-2</v>
      </c>
      <c r="T207">
        <f t="shared" si="19"/>
        <v>5.9226666666666664E-3</v>
      </c>
    </row>
    <row r="208" spans="1:20" x14ac:dyDescent="0.3">
      <c r="A208">
        <v>230</v>
      </c>
      <c r="B208">
        <v>0</v>
      </c>
      <c r="C208">
        <v>-3.9388999999999998</v>
      </c>
      <c r="D208">
        <v>0</v>
      </c>
      <c r="E208">
        <v>-4.7727000000000004</v>
      </c>
      <c r="F208">
        <v>0</v>
      </c>
      <c r="G208">
        <v>-4.0540000000000003</v>
      </c>
      <c r="H208">
        <v>2.8792912513842701E-2</v>
      </c>
      <c r="I208">
        <v>2.4916943521594601E-2</v>
      </c>
      <c r="J208">
        <v>3.43300110741971E-2</v>
      </c>
      <c r="K208">
        <v>6.6610000000000003E-3</v>
      </c>
      <c r="L208">
        <v>6.1069999999999996E-3</v>
      </c>
      <c r="M208">
        <v>6.6610000000000003E-3</v>
      </c>
      <c r="N208">
        <v>4261.3999999999996</v>
      </c>
      <c r="O208">
        <v>485.47</v>
      </c>
      <c r="Q208">
        <f t="shared" si="16"/>
        <v>0</v>
      </c>
      <c r="R208">
        <f t="shared" si="17"/>
        <v>-4.2552000000000003</v>
      </c>
      <c r="S208">
        <f t="shared" si="18"/>
        <v>2.9346622369878134E-2</v>
      </c>
      <c r="T208">
        <f t="shared" si="19"/>
        <v>6.4763333333333339E-3</v>
      </c>
    </row>
    <row r="209" spans="1:20" x14ac:dyDescent="0.3">
      <c r="A209">
        <v>235</v>
      </c>
      <c r="B209">
        <v>0</v>
      </c>
      <c r="C209">
        <v>-4.2016999999999998</v>
      </c>
      <c r="D209">
        <v>0</v>
      </c>
      <c r="E209">
        <v>-4.7584999999999997</v>
      </c>
      <c r="F209">
        <v>0</v>
      </c>
      <c r="G209">
        <v>-4.3293999999999997</v>
      </c>
      <c r="H209">
        <v>2.82392026578073E-2</v>
      </c>
      <c r="I209">
        <v>2.54706533776301E-2</v>
      </c>
      <c r="J209">
        <v>3.6544850498338798E-2</v>
      </c>
      <c r="K209">
        <v>7.7689999999999999E-3</v>
      </c>
      <c r="L209">
        <v>5.5539999999999999E-3</v>
      </c>
      <c r="M209">
        <v>6.6610000000000003E-3</v>
      </c>
      <c r="N209">
        <v>4520.2</v>
      </c>
      <c r="O209">
        <v>593.37</v>
      </c>
      <c r="Q209">
        <f t="shared" si="16"/>
        <v>0</v>
      </c>
      <c r="R209">
        <f t="shared" si="17"/>
        <v>-4.4298666666666664</v>
      </c>
      <c r="S209">
        <f t="shared" si="18"/>
        <v>3.0084902177925404E-2</v>
      </c>
      <c r="T209">
        <f t="shared" si="19"/>
        <v>6.6613333333333342E-3</v>
      </c>
    </row>
    <row r="210" spans="1:20" x14ac:dyDescent="0.3">
      <c r="A210">
        <v>240</v>
      </c>
      <c r="B210">
        <v>0</v>
      </c>
      <c r="C210">
        <v>-4.0292000000000003</v>
      </c>
      <c r="D210">
        <v>0</v>
      </c>
      <c r="E210">
        <v>-4.9028999999999998</v>
      </c>
      <c r="F210">
        <v>0</v>
      </c>
      <c r="G210">
        <v>-4.1266999999999996</v>
      </c>
      <c r="H210">
        <v>2.93466223698781E-2</v>
      </c>
      <c r="I210">
        <v>2.1594684385382E-2</v>
      </c>
      <c r="J210">
        <v>2.7685492801771801E-2</v>
      </c>
      <c r="K210">
        <v>6.1069999999999996E-3</v>
      </c>
      <c r="L210">
        <v>5.5539999999999999E-3</v>
      </c>
      <c r="M210">
        <v>5.5539999999999999E-3</v>
      </c>
      <c r="N210">
        <v>4544.3999999999996</v>
      </c>
      <c r="O210">
        <v>365.12</v>
      </c>
      <c r="Q210">
        <f t="shared" si="16"/>
        <v>0</v>
      </c>
      <c r="R210">
        <f t="shared" si="17"/>
        <v>-4.3529333333333335</v>
      </c>
      <c r="S210">
        <f t="shared" si="18"/>
        <v>2.6208933185677297E-2</v>
      </c>
      <c r="T210">
        <f t="shared" si="19"/>
        <v>5.738333333333334E-3</v>
      </c>
    </row>
    <row r="211" spans="1:20" x14ac:dyDescent="0.3">
      <c r="A211">
        <v>245</v>
      </c>
      <c r="B211">
        <v>0</v>
      </c>
      <c r="C211">
        <v>-4.0118</v>
      </c>
      <c r="D211">
        <v>0</v>
      </c>
      <c r="E211">
        <v>-4.9036999999999997</v>
      </c>
      <c r="F211">
        <v>0</v>
      </c>
      <c r="G211">
        <v>-4.2751999999999999</v>
      </c>
      <c r="H211">
        <v>2.4916943521594601E-2</v>
      </c>
      <c r="I211">
        <v>1.8272425249169399E-2</v>
      </c>
      <c r="J211">
        <v>3.0454042081949E-2</v>
      </c>
      <c r="K211">
        <v>6.6610000000000003E-3</v>
      </c>
      <c r="L211">
        <v>6.1069999999999996E-3</v>
      </c>
      <c r="M211">
        <v>6.6610000000000003E-3</v>
      </c>
      <c r="N211">
        <v>5237.8999999999996</v>
      </c>
      <c r="O211">
        <v>439.69</v>
      </c>
      <c r="Q211">
        <f t="shared" si="16"/>
        <v>0</v>
      </c>
      <c r="R211">
        <f t="shared" si="17"/>
        <v>-4.3968999999999996</v>
      </c>
      <c r="S211">
        <f t="shared" si="18"/>
        <v>2.4547803617571001E-2</v>
      </c>
      <c r="T211">
        <f t="shared" si="19"/>
        <v>6.4763333333333339E-3</v>
      </c>
    </row>
    <row r="212" spans="1:20" x14ac:dyDescent="0.3">
      <c r="A212">
        <v>250</v>
      </c>
      <c r="B212">
        <v>0</v>
      </c>
      <c r="C212">
        <v>-4.2736999999999998</v>
      </c>
      <c r="D212">
        <v>0</v>
      </c>
      <c r="E212">
        <v>-5.1378000000000004</v>
      </c>
      <c r="F212">
        <v>0</v>
      </c>
      <c r="G212">
        <v>-4.3475999999999999</v>
      </c>
      <c r="H212">
        <v>2.7685492801771801E-2</v>
      </c>
      <c r="I212">
        <v>1.8826135105204801E-2</v>
      </c>
      <c r="J212">
        <v>2.43632336655592E-2</v>
      </c>
      <c r="K212">
        <v>7.7689999999999999E-3</v>
      </c>
      <c r="L212">
        <v>6.1069999999999996E-3</v>
      </c>
      <c r="M212">
        <v>6.6610000000000003E-3</v>
      </c>
      <c r="N212">
        <v>5534.8</v>
      </c>
      <c r="O212">
        <v>546.47</v>
      </c>
      <c r="Q212">
        <f t="shared" si="16"/>
        <v>0</v>
      </c>
      <c r="R212">
        <f t="shared" si="17"/>
        <v>-4.5863666666666667</v>
      </c>
      <c r="S212">
        <f t="shared" si="18"/>
        <v>2.3624953857511937E-2</v>
      </c>
      <c r="T212">
        <f t="shared" si="19"/>
        <v>6.8456666666666666E-3</v>
      </c>
    </row>
    <row r="213" spans="1:20" x14ac:dyDescent="0.3">
      <c r="A213">
        <v>255</v>
      </c>
      <c r="B213">
        <v>0</v>
      </c>
      <c r="C213">
        <v>-4.2042999999999999</v>
      </c>
      <c r="D213">
        <v>0</v>
      </c>
      <c r="E213">
        <v>-5.1927000000000003</v>
      </c>
      <c r="F213">
        <v>0</v>
      </c>
      <c r="G213">
        <v>-4.4447000000000001</v>
      </c>
      <c r="H213">
        <v>2.9900332225913599E-2</v>
      </c>
      <c r="I213">
        <v>2.3255813953488299E-2</v>
      </c>
      <c r="J213">
        <v>2.6024363233665498E-2</v>
      </c>
      <c r="K213">
        <v>6.6610000000000003E-3</v>
      </c>
      <c r="L213">
        <v>5.5539999999999999E-3</v>
      </c>
      <c r="M213">
        <v>6.1069999999999996E-3</v>
      </c>
      <c r="N213">
        <v>5758.1</v>
      </c>
      <c r="O213">
        <v>507.28</v>
      </c>
      <c r="Q213">
        <f t="shared" si="16"/>
        <v>0</v>
      </c>
      <c r="R213">
        <f t="shared" si="17"/>
        <v>-4.6139000000000001</v>
      </c>
      <c r="S213">
        <f t="shared" si="18"/>
        <v>2.6393503137689133E-2</v>
      </c>
      <c r="T213">
        <f t="shared" si="19"/>
        <v>6.1073333333333327E-3</v>
      </c>
    </row>
    <row r="214" spans="1:20" x14ac:dyDescent="0.3">
      <c r="A214">
        <v>260</v>
      </c>
      <c r="B214">
        <v>0</v>
      </c>
      <c r="C214">
        <v>-4.3940000000000001</v>
      </c>
      <c r="D214">
        <v>0</v>
      </c>
      <c r="E214">
        <v>-5.3587999999999996</v>
      </c>
      <c r="F214">
        <v>0</v>
      </c>
      <c r="G214">
        <v>-4.3940000000000001</v>
      </c>
      <c r="H214">
        <v>2.9900332225913599E-2</v>
      </c>
      <c r="I214">
        <v>1.8272425249169399E-2</v>
      </c>
      <c r="J214">
        <v>2.6024363233665498E-2</v>
      </c>
      <c r="K214">
        <v>6.1069999999999996E-3</v>
      </c>
      <c r="L214">
        <v>5.5539999999999999E-3</v>
      </c>
      <c r="M214">
        <v>5.5539999999999999E-3</v>
      </c>
      <c r="N214">
        <v>5978.4</v>
      </c>
      <c r="O214">
        <v>477.03</v>
      </c>
      <c r="Q214">
        <f t="shared" si="16"/>
        <v>0</v>
      </c>
      <c r="R214">
        <f t="shared" si="17"/>
        <v>-4.7156000000000002</v>
      </c>
      <c r="S214">
        <f t="shared" si="18"/>
        <v>2.4732373569582831E-2</v>
      </c>
      <c r="T214">
        <f t="shared" si="19"/>
        <v>5.738333333333334E-3</v>
      </c>
    </row>
    <row r="215" spans="1:20" x14ac:dyDescent="0.3">
      <c r="A215">
        <v>265</v>
      </c>
      <c r="B215">
        <v>0</v>
      </c>
      <c r="C215">
        <v>-4.5233999999999996</v>
      </c>
      <c r="D215">
        <v>0</v>
      </c>
      <c r="E215">
        <v>-5.3147000000000002</v>
      </c>
      <c r="F215">
        <v>0</v>
      </c>
      <c r="G215">
        <v>-4.5233999999999996</v>
      </c>
      <c r="H215">
        <v>3.1561461794019897E-2</v>
      </c>
      <c r="I215">
        <v>1.6057585825027601E-2</v>
      </c>
      <c r="J215">
        <v>1.8826135105204801E-2</v>
      </c>
      <c r="K215">
        <v>6.1069999999999996E-3</v>
      </c>
      <c r="L215">
        <v>5.0000000000000001E-3</v>
      </c>
      <c r="M215">
        <v>6.1069999999999996E-3</v>
      </c>
      <c r="N215">
        <v>6243.8</v>
      </c>
      <c r="O215">
        <v>378.62</v>
      </c>
      <c r="Q215">
        <f t="shared" si="16"/>
        <v>0</v>
      </c>
      <c r="R215">
        <f t="shared" si="17"/>
        <v>-4.7871666666666668</v>
      </c>
      <c r="S215">
        <f t="shared" si="18"/>
        <v>2.2148394241417433E-2</v>
      </c>
      <c r="T215">
        <f t="shared" si="19"/>
        <v>5.738E-3</v>
      </c>
    </row>
    <row r="216" spans="1:20" x14ac:dyDescent="0.3">
      <c r="A216">
        <v>270</v>
      </c>
      <c r="B216">
        <v>0</v>
      </c>
      <c r="C216">
        <v>-4.5896999999999997</v>
      </c>
      <c r="D216">
        <v>0</v>
      </c>
      <c r="E216">
        <v>-5.1837</v>
      </c>
      <c r="F216">
        <v>0</v>
      </c>
      <c r="G216">
        <v>-4.5896999999999997</v>
      </c>
      <c r="H216">
        <v>2.2702104097452901E-2</v>
      </c>
      <c r="I216">
        <v>1.66112956810631E-2</v>
      </c>
      <c r="J216">
        <v>2.6024363233665498E-2</v>
      </c>
      <c r="K216">
        <v>5.5539999999999999E-3</v>
      </c>
      <c r="L216">
        <v>5.0000000000000001E-3</v>
      </c>
      <c r="M216">
        <v>5.0000000000000001E-3</v>
      </c>
      <c r="N216">
        <v>6327.8</v>
      </c>
      <c r="O216">
        <v>373.95</v>
      </c>
      <c r="Q216">
        <f t="shared" si="16"/>
        <v>0</v>
      </c>
      <c r="R216">
        <f t="shared" si="17"/>
        <v>-4.7877000000000001</v>
      </c>
      <c r="S216">
        <f t="shared" si="18"/>
        <v>2.1779254337393833E-2</v>
      </c>
      <c r="T216">
        <f t="shared" si="19"/>
        <v>5.1846666666666673E-3</v>
      </c>
    </row>
    <row r="217" spans="1:20" x14ac:dyDescent="0.3">
      <c r="A217">
        <v>275</v>
      </c>
      <c r="B217">
        <v>0</v>
      </c>
      <c r="C217">
        <v>-4.6986999999999997</v>
      </c>
      <c r="D217">
        <v>0</v>
      </c>
      <c r="E217">
        <v>-5.4518000000000004</v>
      </c>
      <c r="F217">
        <v>0</v>
      </c>
      <c r="G217">
        <v>-4.6986999999999997</v>
      </c>
      <c r="H217">
        <v>2.43632336655592E-2</v>
      </c>
      <c r="I217">
        <v>2.1040974529346598E-2</v>
      </c>
      <c r="J217">
        <v>1.9379844961240299E-2</v>
      </c>
      <c r="K217">
        <v>5.5539999999999999E-3</v>
      </c>
      <c r="L217">
        <v>6.1069999999999996E-3</v>
      </c>
      <c r="M217">
        <v>6.1069999999999996E-3</v>
      </c>
      <c r="N217">
        <v>6534.5</v>
      </c>
      <c r="O217">
        <v>725.5</v>
      </c>
      <c r="Q217">
        <f t="shared" si="16"/>
        <v>0</v>
      </c>
      <c r="R217">
        <f t="shared" si="17"/>
        <v>-4.9497333333333335</v>
      </c>
      <c r="S217">
        <f t="shared" si="18"/>
        <v>2.1594684385382035E-2</v>
      </c>
      <c r="T217">
        <f t="shared" si="19"/>
        <v>5.9226666666666664E-3</v>
      </c>
    </row>
    <row r="218" spans="1:20" x14ac:dyDescent="0.3">
      <c r="A218">
        <v>280</v>
      </c>
      <c r="B218">
        <v>0</v>
      </c>
      <c r="C218">
        <v>-4.8941999999999997</v>
      </c>
      <c r="D218">
        <v>0</v>
      </c>
      <c r="E218">
        <v>-5.4031000000000002</v>
      </c>
      <c r="F218">
        <v>0</v>
      </c>
      <c r="G218">
        <v>-4.8562000000000003</v>
      </c>
      <c r="H218">
        <v>2.3255813953488299E-2</v>
      </c>
      <c r="I218">
        <v>1.77187153931339E-2</v>
      </c>
      <c r="J218">
        <v>1.9379844961240299E-2</v>
      </c>
      <c r="K218">
        <v>6.6610000000000003E-3</v>
      </c>
      <c r="L218">
        <v>5.0000000000000001E-3</v>
      </c>
      <c r="M218">
        <v>5.5539999999999999E-3</v>
      </c>
      <c r="N218">
        <v>6703.3</v>
      </c>
      <c r="O218">
        <v>753.48</v>
      </c>
      <c r="Q218">
        <f t="shared" si="16"/>
        <v>0</v>
      </c>
      <c r="R218">
        <f t="shared" si="17"/>
        <v>-5.051166666666667</v>
      </c>
      <c r="S218">
        <f t="shared" si="18"/>
        <v>2.0118124769287499E-2</v>
      </c>
      <c r="T218">
        <f t="shared" si="19"/>
        <v>5.738333333333334E-3</v>
      </c>
    </row>
    <row r="219" spans="1:20" x14ac:dyDescent="0.3">
      <c r="A219">
        <v>285</v>
      </c>
      <c r="B219">
        <v>0</v>
      </c>
      <c r="C219">
        <v>-4.8750999999999998</v>
      </c>
      <c r="D219">
        <v>0</v>
      </c>
      <c r="E219">
        <v>-5.4993999999999996</v>
      </c>
      <c r="F219">
        <v>0</v>
      </c>
      <c r="G219">
        <v>-4.8750999999999998</v>
      </c>
      <c r="H219">
        <v>2.8792912513842701E-2</v>
      </c>
      <c r="I219">
        <v>1.7165005537098502E-2</v>
      </c>
      <c r="J219">
        <v>2.4916943521594601E-2</v>
      </c>
      <c r="K219">
        <v>6.1069999999999996E-3</v>
      </c>
      <c r="L219">
        <v>5.0000000000000001E-3</v>
      </c>
      <c r="M219">
        <v>5.0000000000000001E-3</v>
      </c>
      <c r="N219">
        <v>1120.5999999999999</v>
      </c>
      <c r="O219">
        <v>651.58000000000004</v>
      </c>
      <c r="Q219">
        <f t="shared" si="16"/>
        <v>0</v>
      </c>
      <c r="R219">
        <f t="shared" si="17"/>
        <v>-5.0831999999999997</v>
      </c>
      <c r="S219">
        <f t="shared" si="18"/>
        <v>2.3624953857511937E-2</v>
      </c>
      <c r="T219">
        <f t="shared" si="19"/>
        <v>5.3689999999999996E-3</v>
      </c>
    </row>
    <row r="220" spans="1:20" x14ac:dyDescent="0.3">
      <c r="A220">
        <v>290</v>
      </c>
      <c r="B220">
        <v>0</v>
      </c>
      <c r="C220">
        <v>-4.8259999999999996</v>
      </c>
      <c r="D220">
        <v>0</v>
      </c>
      <c r="E220">
        <v>-5.6449999999999996</v>
      </c>
      <c r="F220">
        <v>0</v>
      </c>
      <c r="G220">
        <v>-4.8259999999999996</v>
      </c>
      <c r="H220">
        <v>1.9379844961240299E-2</v>
      </c>
      <c r="I220">
        <v>1.7165005537098502E-2</v>
      </c>
      <c r="J220">
        <v>1.8272425249169399E-2</v>
      </c>
      <c r="K220">
        <v>5.5539999999999999E-3</v>
      </c>
      <c r="L220">
        <v>5.0000000000000001E-3</v>
      </c>
      <c r="M220">
        <v>5.5539999999999999E-3</v>
      </c>
      <c r="N220">
        <v>1312.3</v>
      </c>
      <c r="O220">
        <v>589.66</v>
      </c>
      <c r="Q220">
        <f t="shared" si="16"/>
        <v>0</v>
      </c>
      <c r="R220">
        <f t="shared" si="17"/>
        <v>-5.0990000000000002</v>
      </c>
      <c r="S220">
        <f t="shared" si="18"/>
        <v>1.8272425249169402E-2</v>
      </c>
      <c r="T220">
        <f t="shared" si="19"/>
        <v>5.3693333333333336E-3</v>
      </c>
    </row>
    <row r="221" spans="1:20" x14ac:dyDescent="0.3">
      <c r="A221">
        <v>295</v>
      </c>
      <c r="B221">
        <v>0</v>
      </c>
      <c r="C221">
        <v>-4.9615999999999998</v>
      </c>
      <c r="D221">
        <v>0</v>
      </c>
      <c r="E221">
        <v>-5.6821000000000002</v>
      </c>
      <c r="F221">
        <v>0</v>
      </c>
      <c r="G221">
        <v>-4.9615999999999998</v>
      </c>
      <c r="H221">
        <v>1.9933554817275701E-2</v>
      </c>
      <c r="I221">
        <v>1.1627906976744099E-2</v>
      </c>
      <c r="J221">
        <v>9.9667774086378697E-3</v>
      </c>
      <c r="K221">
        <v>5.5539999999999999E-3</v>
      </c>
      <c r="L221">
        <v>5.0000000000000001E-3</v>
      </c>
      <c r="M221">
        <v>5.5539999999999999E-3</v>
      </c>
      <c r="N221">
        <v>1313.2</v>
      </c>
      <c r="O221">
        <v>434.91</v>
      </c>
      <c r="Q221">
        <f t="shared" si="16"/>
        <v>0</v>
      </c>
      <c r="R221">
        <f t="shared" si="17"/>
        <v>-5.2017666666666669</v>
      </c>
      <c r="S221">
        <f t="shared" si="18"/>
        <v>1.384274640088589E-2</v>
      </c>
      <c r="T221">
        <f t="shared" si="19"/>
        <v>5.3693333333333336E-3</v>
      </c>
    </row>
    <row r="222" spans="1:20" x14ac:dyDescent="0.3">
      <c r="A222">
        <v>300</v>
      </c>
      <c r="B222">
        <v>0</v>
      </c>
      <c r="C222">
        <v>-5.0894000000000004</v>
      </c>
      <c r="D222">
        <v>0</v>
      </c>
      <c r="E222">
        <v>-5.7927</v>
      </c>
      <c r="F222">
        <v>0</v>
      </c>
      <c r="G222">
        <v>-5.0792999999999999</v>
      </c>
      <c r="H222">
        <v>1.9933554817275701E-2</v>
      </c>
      <c r="I222">
        <v>1.2735326688815E-2</v>
      </c>
      <c r="J222">
        <v>1.8272425249169399E-2</v>
      </c>
      <c r="K222">
        <v>5.0000000000000001E-3</v>
      </c>
      <c r="L222">
        <v>5.0000000000000001E-3</v>
      </c>
      <c r="M222">
        <v>5.0000000000000001E-3</v>
      </c>
      <c r="N222">
        <v>7424.8</v>
      </c>
      <c r="O222">
        <v>1164.2</v>
      </c>
      <c r="Q222">
        <f t="shared" si="16"/>
        <v>0</v>
      </c>
      <c r="R222">
        <f t="shared" si="17"/>
        <v>-5.3204666666666673</v>
      </c>
      <c r="S222">
        <f t="shared" si="18"/>
        <v>1.69804355850867E-2</v>
      </c>
      <c r="T222">
        <f t="shared" si="19"/>
        <v>5.0000000000000001E-3</v>
      </c>
    </row>
    <row r="223" spans="1:20" x14ac:dyDescent="0.3">
      <c r="A223">
        <v>305</v>
      </c>
      <c r="B223">
        <v>0</v>
      </c>
      <c r="C223">
        <v>-5.2809999999999997</v>
      </c>
      <c r="D223">
        <v>0</v>
      </c>
      <c r="E223">
        <v>-5.9154</v>
      </c>
      <c r="F223">
        <v>0</v>
      </c>
      <c r="G223">
        <v>-5.3117999999999999</v>
      </c>
      <c r="H223">
        <v>2.2702104097452901E-2</v>
      </c>
      <c r="I223">
        <v>1.21816168327796E-2</v>
      </c>
      <c r="J223">
        <v>1.1627906976744099E-2</v>
      </c>
      <c r="K223">
        <v>5.5539999999999999E-3</v>
      </c>
      <c r="L223">
        <v>5.0000000000000001E-3</v>
      </c>
      <c r="M223">
        <v>5.0000000000000001E-3</v>
      </c>
      <c r="N223">
        <v>7761.4</v>
      </c>
      <c r="O223">
        <v>707.03</v>
      </c>
      <c r="Q223">
        <f t="shared" si="16"/>
        <v>0</v>
      </c>
      <c r="R223">
        <f t="shared" si="17"/>
        <v>-5.5027333333333344</v>
      </c>
      <c r="S223">
        <f t="shared" si="18"/>
        <v>1.5503875968992201E-2</v>
      </c>
      <c r="T223">
        <f t="shared" si="19"/>
        <v>5.1846666666666673E-3</v>
      </c>
    </row>
    <row r="224" spans="1:20" x14ac:dyDescent="0.3">
      <c r="A224">
        <v>310</v>
      </c>
      <c r="B224">
        <v>0</v>
      </c>
      <c r="C224">
        <v>-5.4189999999999996</v>
      </c>
      <c r="D224">
        <v>0</v>
      </c>
      <c r="E224">
        <v>-7.6794000000000002</v>
      </c>
      <c r="F224">
        <v>0</v>
      </c>
      <c r="G224">
        <v>-6.1051000000000002</v>
      </c>
      <c r="H224">
        <v>1.9379844961240299E-2</v>
      </c>
      <c r="I224">
        <v>9.9667774086378697E-3</v>
      </c>
      <c r="J224">
        <v>1.77187153931339E-2</v>
      </c>
      <c r="K224">
        <v>6.1069999999999996E-3</v>
      </c>
      <c r="L224">
        <v>5.0000000000000001E-3</v>
      </c>
      <c r="M224">
        <v>5.5539999999999999E-3</v>
      </c>
      <c r="N224">
        <v>8078.6</v>
      </c>
      <c r="O224">
        <v>643.88</v>
      </c>
      <c r="Q224">
        <f t="shared" si="16"/>
        <v>0</v>
      </c>
      <c r="R224">
        <f t="shared" si="17"/>
        <v>-6.4011666666666658</v>
      </c>
      <c r="S224">
        <f t="shared" si="18"/>
        <v>1.5688445921004022E-2</v>
      </c>
      <c r="T224">
        <f t="shared" si="19"/>
        <v>5.553666666666666E-3</v>
      </c>
    </row>
    <row r="225" spans="1:20" x14ac:dyDescent="0.3">
      <c r="A225">
        <v>315</v>
      </c>
      <c r="B225">
        <v>0</v>
      </c>
      <c r="C225">
        <v>-5.3582000000000001</v>
      </c>
      <c r="D225">
        <v>0</v>
      </c>
      <c r="E225">
        <v>-7.6825000000000001</v>
      </c>
      <c r="F225">
        <v>0</v>
      </c>
      <c r="G225">
        <v>-6.5867000000000004</v>
      </c>
      <c r="H225">
        <v>9.9667774086378697E-3</v>
      </c>
      <c r="I225">
        <v>9.4130675526024297E-3</v>
      </c>
      <c r="J225">
        <v>1.5503875968992199E-2</v>
      </c>
      <c r="K225">
        <v>5.0000000000000001E-3</v>
      </c>
      <c r="L225">
        <v>5.0000000000000001E-3</v>
      </c>
      <c r="M225">
        <v>5.0000000000000001E-3</v>
      </c>
      <c r="N225">
        <v>8364.2000000000007</v>
      </c>
      <c r="O225">
        <v>527.41999999999996</v>
      </c>
      <c r="Q225">
        <f t="shared" si="16"/>
        <v>0</v>
      </c>
      <c r="R225">
        <f t="shared" si="17"/>
        <v>-6.5424666666666669</v>
      </c>
      <c r="S225">
        <f t="shared" si="18"/>
        <v>1.1627906976744165E-2</v>
      </c>
      <c r="T225">
        <f t="shared" si="19"/>
        <v>5.0000000000000001E-3</v>
      </c>
    </row>
    <row r="226" spans="1:20" x14ac:dyDescent="0.3">
      <c r="A226">
        <v>320</v>
      </c>
      <c r="B226">
        <v>0</v>
      </c>
      <c r="C226">
        <v>-5.4519000000000002</v>
      </c>
      <c r="D226">
        <v>0</v>
      </c>
      <c r="E226">
        <v>-7.8361000000000001</v>
      </c>
      <c r="F226">
        <v>0</v>
      </c>
      <c r="G226">
        <v>-6.3708999999999998</v>
      </c>
      <c r="H226">
        <v>1.6057585825027601E-2</v>
      </c>
      <c r="I226">
        <v>1.1627906976744099E-2</v>
      </c>
      <c r="J226">
        <v>1.43964562569213E-2</v>
      </c>
      <c r="K226">
        <v>5.0000000000000001E-3</v>
      </c>
      <c r="L226">
        <v>5.0000000000000001E-3</v>
      </c>
      <c r="M226">
        <v>5.0000000000000001E-3</v>
      </c>
      <c r="N226">
        <v>8628.7999999999993</v>
      </c>
      <c r="O226">
        <v>456.69</v>
      </c>
      <c r="Q226">
        <f t="shared" si="16"/>
        <v>0</v>
      </c>
      <c r="R226">
        <f t="shared" si="17"/>
        <v>-6.5529666666666664</v>
      </c>
      <c r="S226">
        <f t="shared" si="18"/>
        <v>1.4027316352897667E-2</v>
      </c>
      <c r="T226">
        <f t="shared" si="19"/>
        <v>5.0000000000000001E-3</v>
      </c>
    </row>
    <row r="227" spans="1:20" x14ac:dyDescent="0.3">
      <c r="A227">
        <v>325</v>
      </c>
      <c r="B227">
        <v>0</v>
      </c>
      <c r="C227">
        <v>-5.4269999999999996</v>
      </c>
      <c r="D227">
        <v>0</v>
      </c>
      <c r="E227">
        <v>-8.1211000000000002</v>
      </c>
      <c r="F227">
        <v>0</v>
      </c>
      <c r="G227">
        <v>-6.3913000000000002</v>
      </c>
      <c r="H227">
        <v>1.4950166112956799E-2</v>
      </c>
      <c r="I227">
        <v>9.4130675526024297E-3</v>
      </c>
      <c r="J227">
        <v>1.0520487264673299E-2</v>
      </c>
      <c r="K227">
        <v>5.0000000000000001E-3</v>
      </c>
      <c r="L227">
        <v>5.0000000000000001E-3</v>
      </c>
      <c r="M227">
        <v>5.0000000000000001E-3</v>
      </c>
      <c r="N227">
        <v>8814.9</v>
      </c>
      <c r="O227">
        <v>681.67</v>
      </c>
      <c r="Q227">
        <f t="shared" si="16"/>
        <v>0</v>
      </c>
      <c r="R227">
        <f t="shared" si="17"/>
        <v>-6.6464666666666661</v>
      </c>
      <c r="S227">
        <f t="shared" si="18"/>
        <v>1.1627906976744177E-2</v>
      </c>
      <c r="T227">
        <f t="shared" si="19"/>
        <v>5.0000000000000001E-3</v>
      </c>
    </row>
    <row r="228" spans="1:20" x14ac:dyDescent="0.3">
      <c r="A228">
        <v>330</v>
      </c>
      <c r="B228">
        <v>0</v>
      </c>
      <c r="C228">
        <v>-5.4522000000000004</v>
      </c>
      <c r="D228">
        <v>0</v>
      </c>
      <c r="E228">
        <v>-7.9142000000000001</v>
      </c>
      <c r="F228">
        <v>0</v>
      </c>
      <c r="G228">
        <v>-6.6776</v>
      </c>
      <c r="H228">
        <v>1.21816168327796E-2</v>
      </c>
      <c r="I228">
        <v>1.1074197120708699E-2</v>
      </c>
      <c r="J228">
        <v>7.7519379844961196E-3</v>
      </c>
      <c r="K228">
        <v>5.0000000000000001E-3</v>
      </c>
      <c r="L228">
        <v>5.0000000000000001E-3</v>
      </c>
      <c r="M228">
        <v>5.0000000000000001E-3</v>
      </c>
      <c r="N228">
        <v>9038.9</v>
      </c>
      <c r="O228">
        <v>894.84</v>
      </c>
      <c r="Q228">
        <f t="shared" ref="Q228:Q238" si="20">AVERAGE(B228,D228,F228)</f>
        <v>0</v>
      </c>
      <c r="R228">
        <f t="shared" ref="R228:R238" si="21">AVERAGE(C228,E228,G228)</f>
        <v>-6.6813333333333338</v>
      </c>
      <c r="S228">
        <f t="shared" ref="S228:S238" si="22">AVERAGE(H228:J228)</f>
        <v>1.0335917312661473E-2</v>
      </c>
      <c r="T228">
        <f t="shared" ref="T228:T238" si="23">AVERAGE(K228:M228)</f>
        <v>5.0000000000000001E-3</v>
      </c>
    </row>
    <row r="229" spans="1:20" x14ac:dyDescent="0.3">
      <c r="A229">
        <v>335</v>
      </c>
      <c r="B229">
        <v>0</v>
      </c>
      <c r="C229">
        <v>-5.5045999999999999</v>
      </c>
      <c r="D229">
        <v>0</v>
      </c>
      <c r="E229">
        <v>-8.0516000000000005</v>
      </c>
      <c r="F229">
        <v>0</v>
      </c>
      <c r="G229">
        <v>-6.8163</v>
      </c>
      <c r="H229">
        <v>1.9379844961240299E-2</v>
      </c>
      <c r="I229">
        <v>7.7519379844961196E-3</v>
      </c>
      <c r="J229">
        <v>1.38427464008859E-2</v>
      </c>
      <c r="K229">
        <v>5.0000000000000001E-3</v>
      </c>
      <c r="L229">
        <v>5.0000000000000001E-3</v>
      </c>
      <c r="M229">
        <v>5.0000000000000001E-3</v>
      </c>
      <c r="N229">
        <v>9400.7999999999993</v>
      </c>
      <c r="O229">
        <v>770.73</v>
      </c>
      <c r="Q229">
        <f t="shared" si="20"/>
        <v>0</v>
      </c>
      <c r="R229">
        <f t="shared" si="21"/>
        <v>-6.7908333333333344</v>
      </c>
      <c r="S229">
        <f t="shared" si="22"/>
        <v>1.3658176448874107E-2</v>
      </c>
      <c r="T229">
        <f t="shared" si="23"/>
        <v>5.0000000000000001E-3</v>
      </c>
    </row>
    <row r="230" spans="1:20" x14ac:dyDescent="0.3">
      <c r="A230">
        <v>340</v>
      </c>
      <c r="B230">
        <v>0</v>
      </c>
      <c r="C230">
        <v>-5.4969000000000001</v>
      </c>
      <c r="D230">
        <v>0</v>
      </c>
      <c r="E230">
        <v>-8.1713000000000005</v>
      </c>
      <c r="F230">
        <v>0</v>
      </c>
      <c r="G230">
        <v>-7.0580999999999996</v>
      </c>
      <c r="H230">
        <v>1.6057585825027601E-2</v>
      </c>
      <c r="I230">
        <v>7.7519379844961196E-3</v>
      </c>
      <c r="J230">
        <v>1.1627906976744099E-2</v>
      </c>
      <c r="K230">
        <v>5.0000000000000001E-3</v>
      </c>
      <c r="L230">
        <v>5.0000000000000001E-3</v>
      </c>
      <c r="M230">
        <v>5.0000000000000001E-3</v>
      </c>
      <c r="N230">
        <v>9746.7000000000007</v>
      </c>
      <c r="O230">
        <v>745.61</v>
      </c>
      <c r="Q230">
        <f t="shared" si="20"/>
        <v>0</v>
      </c>
      <c r="R230">
        <f t="shared" si="21"/>
        <v>-6.9087666666666676</v>
      </c>
      <c r="S230">
        <f t="shared" si="22"/>
        <v>1.1812476928755941E-2</v>
      </c>
      <c r="T230">
        <f t="shared" si="23"/>
        <v>5.0000000000000001E-3</v>
      </c>
    </row>
    <row r="231" spans="1:20" x14ac:dyDescent="0.3">
      <c r="A231">
        <v>345</v>
      </c>
      <c r="B231">
        <v>0</v>
      </c>
      <c r="C231">
        <v>-5.5191999999999997</v>
      </c>
      <c r="D231">
        <v>0</v>
      </c>
      <c r="E231">
        <v>-8.3659999999999997</v>
      </c>
      <c r="F231">
        <v>0</v>
      </c>
      <c r="G231">
        <v>-7.1661000000000001</v>
      </c>
      <c r="H231">
        <v>1.21816168327796E-2</v>
      </c>
      <c r="I231">
        <v>7.1982281284606797E-3</v>
      </c>
      <c r="J231">
        <v>8.3056478405315604E-3</v>
      </c>
      <c r="K231">
        <v>5.0000000000000001E-3</v>
      </c>
      <c r="L231">
        <v>5.0000000000000001E-3</v>
      </c>
      <c r="M231">
        <v>5.0000000000000001E-3</v>
      </c>
      <c r="N231">
        <v>10088.200000000001</v>
      </c>
      <c r="O231">
        <v>628.77</v>
      </c>
      <c r="Q231">
        <f t="shared" si="20"/>
        <v>0</v>
      </c>
      <c r="R231">
        <f t="shared" si="21"/>
        <v>-7.0170999999999992</v>
      </c>
      <c r="S231">
        <f t="shared" si="22"/>
        <v>9.2284976005906124E-3</v>
      </c>
      <c r="T231">
        <f t="shared" si="23"/>
        <v>5.0000000000000001E-3</v>
      </c>
    </row>
    <row r="232" spans="1:20" x14ac:dyDescent="0.3">
      <c r="A232">
        <v>350</v>
      </c>
      <c r="B232">
        <v>0</v>
      </c>
      <c r="C232">
        <v>-7.0811999999999999</v>
      </c>
      <c r="D232">
        <v>0</v>
      </c>
      <c r="E232">
        <v>-8.7306000000000008</v>
      </c>
      <c r="F232">
        <v>0</v>
      </c>
      <c r="G232">
        <v>-7.1742999999999997</v>
      </c>
      <c r="H232">
        <v>1.38427464008859E-2</v>
      </c>
      <c r="I232">
        <v>7.7519379844961196E-3</v>
      </c>
      <c r="J232">
        <v>8.3056478405315604E-3</v>
      </c>
      <c r="K232">
        <v>5.0000000000000001E-3</v>
      </c>
      <c r="L232">
        <v>5.0000000000000001E-3</v>
      </c>
      <c r="M232">
        <v>5.0000000000000001E-3</v>
      </c>
      <c r="N232">
        <v>10309.299999999999</v>
      </c>
      <c r="O232">
        <v>575.79999999999995</v>
      </c>
      <c r="Q232">
        <f t="shared" si="20"/>
        <v>0</v>
      </c>
      <c r="R232">
        <f t="shared" si="21"/>
        <v>-7.6620333333333335</v>
      </c>
      <c r="S232">
        <f t="shared" si="22"/>
        <v>9.966777408637861E-3</v>
      </c>
      <c r="T232">
        <f t="shared" si="23"/>
        <v>5.0000000000000001E-3</v>
      </c>
    </row>
    <row r="233" spans="1:20" x14ac:dyDescent="0.3">
      <c r="A233">
        <v>355</v>
      </c>
      <c r="B233">
        <v>0</v>
      </c>
      <c r="C233">
        <v>-6.9519000000000002</v>
      </c>
      <c r="D233">
        <v>0</v>
      </c>
      <c r="E233">
        <v>-8.2326999999999995</v>
      </c>
      <c r="F233">
        <v>0</v>
      </c>
      <c r="G233">
        <v>-6.9733999999999998</v>
      </c>
      <c r="H233">
        <v>1.2735326688815E-2</v>
      </c>
      <c r="I233">
        <v>7.7519379844961196E-3</v>
      </c>
      <c r="J233">
        <v>1.0520487264673299E-2</v>
      </c>
      <c r="K233">
        <v>5.0000000000000001E-3</v>
      </c>
      <c r="L233">
        <v>5.0000000000000001E-3</v>
      </c>
      <c r="M233">
        <v>5.0000000000000001E-3</v>
      </c>
      <c r="N233">
        <v>10518.7</v>
      </c>
      <c r="O233">
        <v>832.89</v>
      </c>
      <c r="Q233">
        <f t="shared" si="20"/>
        <v>0</v>
      </c>
      <c r="R233">
        <f t="shared" si="21"/>
        <v>-7.3860000000000001</v>
      </c>
      <c r="S233">
        <f t="shared" si="22"/>
        <v>1.0335917312661473E-2</v>
      </c>
      <c r="T233">
        <f t="shared" si="23"/>
        <v>5.0000000000000001E-3</v>
      </c>
    </row>
    <row r="234" spans="1:20" x14ac:dyDescent="0.3">
      <c r="A234">
        <v>360</v>
      </c>
      <c r="B234">
        <v>0</v>
      </c>
      <c r="C234">
        <v>-7.0915999999999997</v>
      </c>
      <c r="D234">
        <v>0</v>
      </c>
      <c r="E234">
        <v>-8.7528000000000006</v>
      </c>
      <c r="F234">
        <v>0</v>
      </c>
      <c r="G234">
        <v>-7.1040999999999999</v>
      </c>
      <c r="H234">
        <v>1.0520487264673299E-2</v>
      </c>
      <c r="I234">
        <v>1.0520487264673299E-2</v>
      </c>
      <c r="J234">
        <v>1.1074197120708699E-2</v>
      </c>
      <c r="K234">
        <v>5.5539999999999999E-3</v>
      </c>
      <c r="L234">
        <v>5.0000000000000001E-3</v>
      </c>
      <c r="M234">
        <v>5.0000000000000001E-3</v>
      </c>
      <c r="N234">
        <v>10872.4</v>
      </c>
      <c r="O234">
        <v>1372.66</v>
      </c>
      <c r="Q234">
        <f t="shared" si="20"/>
        <v>0</v>
      </c>
      <c r="R234">
        <f t="shared" si="21"/>
        <v>-7.6494999999999997</v>
      </c>
      <c r="S234">
        <f t="shared" si="22"/>
        <v>1.0705057216685099E-2</v>
      </c>
      <c r="T234">
        <f t="shared" si="23"/>
        <v>5.1846666666666673E-3</v>
      </c>
    </row>
    <row r="235" spans="1:20" x14ac:dyDescent="0.3">
      <c r="A235">
        <v>365</v>
      </c>
      <c r="B235">
        <v>0</v>
      </c>
      <c r="C235">
        <v>-7.4663000000000004</v>
      </c>
      <c r="D235">
        <v>0</v>
      </c>
      <c r="E235">
        <v>-9.1280000000000001</v>
      </c>
      <c r="F235">
        <v>0</v>
      </c>
      <c r="G235">
        <v>-7.5655000000000001</v>
      </c>
      <c r="H235">
        <v>8.3056478405315604E-3</v>
      </c>
      <c r="I235">
        <v>6.0908084163898103E-3</v>
      </c>
      <c r="J235">
        <v>1.0520487264673299E-2</v>
      </c>
      <c r="K235">
        <v>5.0000000000000001E-3</v>
      </c>
      <c r="L235">
        <v>5.0000000000000001E-3</v>
      </c>
      <c r="M235">
        <v>5.0000000000000001E-3</v>
      </c>
      <c r="N235">
        <v>11350.8</v>
      </c>
      <c r="O235">
        <v>1177.3</v>
      </c>
      <c r="Q235">
        <f t="shared" si="20"/>
        <v>0</v>
      </c>
      <c r="R235">
        <f t="shared" si="21"/>
        <v>-8.0532666666666675</v>
      </c>
      <c r="S235">
        <f t="shared" si="22"/>
        <v>8.3056478405315569E-3</v>
      </c>
      <c r="T235">
        <f t="shared" si="23"/>
        <v>5.0000000000000001E-3</v>
      </c>
    </row>
    <row r="236" spans="1:20" x14ac:dyDescent="0.3">
      <c r="A236">
        <v>370</v>
      </c>
      <c r="B236">
        <v>0</v>
      </c>
      <c r="C236">
        <v>-7.6879999999999997</v>
      </c>
      <c r="D236">
        <v>0</v>
      </c>
      <c r="E236">
        <v>-8.9814000000000007</v>
      </c>
      <c r="F236">
        <v>0</v>
      </c>
      <c r="G236">
        <v>-7.7474999999999996</v>
      </c>
      <c r="H236">
        <v>7.1982281284606797E-3</v>
      </c>
      <c r="I236">
        <v>7.7519379844961196E-3</v>
      </c>
      <c r="J236">
        <v>8.3056478405315604E-3</v>
      </c>
      <c r="K236">
        <v>5.0000000000000001E-3</v>
      </c>
      <c r="L236">
        <v>5.0000000000000001E-3</v>
      </c>
      <c r="M236">
        <v>5.0000000000000001E-3</v>
      </c>
      <c r="N236">
        <v>11752.7</v>
      </c>
      <c r="O236">
        <v>1036.8399999999999</v>
      </c>
      <c r="Q236">
        <f t="shared" si="20"/>
        <v>0</v>
      </c>
      <c r="R236">
        <f t="shared" si="21"/>
        <v>-8.1389666666666667</v>
      </c>
      <c r="S236">
        <f t="shared" si="22"/>
        <v>7.7519379844961196E-3</v>
      </c>
      <c r="T236">
        <f t="shared" si="23"/>
        <v>5.0000000000000001E-3</v>
      </c>
    </row>
    <row r="237" spans="1:20" x14ac:dyDescent="0.3">
      <c r="A237">
        <v>375</v>
      </c>
      <c r="B237">
        <v>0</v>
      </c>
      <c r="C237">
        <v>-7.6753</v>
      </c>
      <c r="D237">
        <v>0</v>
      </c>
      <c r="E237">
        <v>-9.1135000000000002</v>
      </c>
      <c r="F237">
        <v>0</v>
      </c>
      <c r="G237">
        <v>-7.7557</v>
      </c>
      <c r="H237">
        <v>9.9667774086378697E-3</v>
      </c>
      <c r="I237">
        <v>5.5370985603543704E-3</v>
      </c>
      <c r="J237">
        <v>7.1982281284606797E-3</v>
      </c>
      <c r="K237">
        <v>5.0000000000000001E-3</v>
      </c>
      <c r="L237">
        <v>5.0000000000000001E-3</v>
      </c>
      <c r="M237">
        <v>5.0000000000000001E-3</v>
      </c>
      <c r="N237">
        <v>11797.8</v>
      </c>
      <c r="O237">
        <v>962.31</v>
      </c>
      <c r="Q237">
        <f t="shared" si="20"/>
        <v>0</v>
      </c>
      <c r="R237">
        <f t="shared" si="21"/>
        <v>-8.1815000000000015</v>
      </c>
      <c r="S237">
        <f t="shared" si="22"/>
        <v>7.5673680324843074E-3</v>
      </c>
      <c r="T237">
        <f t="shared" si="23"/>
        <v>5.0000000000000001E-3</v>
      </c>
    </row>
    <row r="238" spans="1:20" x14ac:dyDescent="0.3">
      <c r="A238">
        <v>380</v>
      </c>
      <c r="B238">
        <v>0</v>
      </c>
      <c r="C238">
        <v>-7.8330000000000002</v>
      </c>
      <c r="D238">
        <v>0</v>
      </c>
      <c r="E238">
        <v>-9.0312999999999999</v>
      </c>
      <c r="F238">
        <v>0</v>
      </c>
      <c r="G238">
        <v>-7.8494999999999999</v>
      </c>
      <c r="H238">
        <v>1.38427464008859E-2</v>
      </c>
      <c r="I238">
        <v>7.1982281284606797E-3</v>
      </c>
      <c r="J238">
        <v>9.4130675526024297E-3</v>
      </c>
      <c r="K238">
        <v>5.0000000000000001E-3</v>
      </c>
      <c r="L238">
        <v>5.0000000000000001E-3</v>
      </c>
      <c r="M238">
        <v>5.0000000000000001E-3</v>
      </c>
      <c r="N238">
        <v>11821.9</v>
      </c>
      <c r="O238">
        <v>1172.4100000000001</v>
      </c>
      <c r="Q238">
        <f t="shared" si="20"/>
        <v>0</v>
      </c>
      <c r="R238">
        <f t="shared" si="21"/>
        <v>-8.2379333333333324</v>
      </c>
      <c r="S238">
        <f t="shared" si="22"/>
        <v>1.015134736064967E-2</v>
      </c>
      <c r="T238">
        <f t="shared" si="23"/>
        <v>5.0000000000000001E-3</v>
      </c>
    </row>
    <row r="241" spans="1:24" x14ac:dyDescent="0.3">
      <c r="A241" t="s">
        <v>36</v>
      </c>
    </row>
    <row r="242" spans="1:24" x14ac:dyDescent="0.3">
      <c r="D242" t="s">
        <v>6</v>
      </c>
      <c r="I242" t="s">
        <v>7</v>
      </c>
      <c r="L242" t="s">
        <v>8</v>
      </c>
      <c r="S242" t="s">
        <v>83</v>
      </c>
      <c r="W242" t="s">
        <v>84</v>
      </c>
    </row>
    <row r="243" spans="1:24" x14ac:dyDescent="0.3">
      <c r="A243" t="s">
        <v>85</v>
      </c>
      <c r="B243" t="s">
        <v>86</v>
      </c>
      <c r="C243" t="s">
        <v>87</v>
      </c>
      <c r="D243" t="s">
        <v>88</v>
      </c>
      <c r="E243" t="s">
        <v>89</v>
      </c>
      <c r="F243" t="s">
        <v>90</v>
      </c>
      <c r="G243" t="s">
        <v>91</v>
      </c>
      <c r="H243" t="s">
        <v>92</v>
      </c>
      <c r="I243" t="s">
        <v>93</v>
      </c>
      <c r="J243" t="s">
        <v>94</v>
      </c>
      <c r="K243" t="s">
        <v>92</v>
      </c>
      <c r="L243" t="s">
        <v>93</v>
      </c>
      <c r="M243" t="s">
        <v>94</v>
      </c>
      <c r="N243" t="s">
        <v>95</v>
      </c>
      <c r="O243" t="s">
        <v>96</v>
      </c>
      <c r="Q243" t="s">
        <v>120</v>
      </c>
      <c r="R243" t="s">
        <v>121</v>
      </c>
      <c r="S243" t="s">
        <v>122</v>
      </c>
      <c r="T243" t="s">
        <v>123</v>
      </c>
      <c r="U243" t="s">
        <v>101</v>
      </c>
      <c r="V243" t="s">
        <v>102</v>
      </c>
      <c r="W243" t="s">
        <v>7</v>
      </c>
      <c r="X243" t="s">
        <v>8</v>
      </c>
    </row>
    <row r="244" spans="1:24" x14ac:dyDescent="0.3">
      <c r="A244">
        <v>10</v>
      </c>
      <c r="B244">
        <v>4.9000000000000002E-2</v>
      </c>
      <c r="C244">
        <v>-3.3000000000000002E-2</v>
      </c>
      <c r="D244">
        <v>4.9000000000000002E-2</v>
      </c>
      <c r="E244">
        <v>-3.3000000000000002E-2</v>
      </c>
      <c r="F244">
        <v>4.9000000000000002E-2</v>
      </c>
      <c r="G244">
        <v>-3.3000000000000002E-2</v>
      </c>
      <c r="H244">
        <v>9.2248062015503798E-2</v>
      </c>
      <c r="I244">
        <v>9.0310077519379806E-2</v>
      </c>
      <c r="J244">
        <v>7.5581395348837205E-2</v>
      </c>
      <c r="K244">
        <v>7.3992000000000002E-2</v>
      </c>
      <c r="L244">
        <v>7.3992000000000002E-2</v>
      </c>
      <c r="M244">
        <v>7.3992000000000002E-2</v>
      </c>
      <c r="N244">
        <v>2002.3</v>
      </c>
      <c r="O244">
        <v>193.17</v>
      </c>
      <c r="Q244">
        <f t="shared" ref="Q244:Q307" si="24">AVERAGE(B244,D244,F244)</f>
        <v>4.9000000000000009E-2</v>
      </c>
      <c r="R244">
        <f t="shared" ref="R244:R307" si="25">AVERAGE(C244,E244,G244)</f>
        <v>-3.3000000000000002E-2</v>
      </c>
      <c r="S244">
        <f t="shared" ref="S244:S307" si="26">AVERAGE(H244:J244)</f>
        <v>8.6046511627906927E-2</v>
      </c>
      <c r="T244">
        <f t="shared" ref="T244:T307" si="27">AVERAGE(K244:M244)</f>
        <v>7.3992000000000002E-2</v>
      </c>
      <c r="U244">
        <v>0</v>
      </c>
      <c r="V244">
        <f>MIN(R274:R318)</f>
        <v>-11.9276</v>
      </c>
      <c r="W244">
        <f>MIN(S244:S318)</f>
        <v>2.1963824289405669E-3</v>
      </c>
      <c r="X244">
        <f>MIN(T244:T318)</f>
        <v>5.0000000000000001E-3</v>
      </c>
    </row>
    <row r="245" spans="1:24" x14ac:dyDescent="0.3">
      <c r="A245">
        <v>15</v>
      </c>
      <c r="B245">
        <v>2.8000000000000001E-2</v>
      </c>
      <c r="C245">
        <v>-0.2069</v>
      </c>
      <c r="D245">
        <v>2.8000000000000001E-2</v>
      </c>
      <c r="E245">
        <v>-0.2069</v>
      </c>
      <c r="F245">
        <v>2.8000000000000001E-2</v>
      </c>
      <c r="G245">
        <v>-0.2069</v>
      </c>
      <c r="H245">
        <v>0.103488372093023</v>
      </c>
      <c r="I245">
        <v>9.4186046511627902E-2</v>
      </c>
      <c r="J245">
        <v>9.8062015503875902E-2</v>
      </c>
      <c r="K245">
        <v>7.2054000000000007E-2</v>
      </c>
      <c r="L245">
        <v>7.2054000000000007E-2</v>
      </c>
      <c r="M245">
        <v>7.2054000000000007E-2</v>
      </c>
      <c r="N245">
        <v>2217.5</v>
      </c>
      <c r="O245">
        <v>210.89</v>
      </c>
      <c r="Q245">
        <f t="shared" si="24"/>
        <v>2.8000000000000001E-2</v>
      </c>
      <c r="R245">
        <f t="shared" si="25"/>
        <v>-0.2069</v>
      </c>
      <c r="S245">
        <f t="shared" si="26"/>
        <v>9.8578811369508926E-2</v>
      </c>
      <c r="T245">
        <f t="shared" si="27"/>
        <v>7.2054000000000007E-2</v>
      </c>
      <c r="V245" t="s">
        <v>117</v>
      </c>
      <c r="W245" t="s">
        <v>124</v>
      </c>
      <c r="X245" t="s">
        <v>125</v>
      </c>
    </row>
    <row r="246" spans="1:24" x14ac:dyDescent="0.3">
      <c r="A246">
        <v>20</v>
      </c>
      <c r="B246">
        <v>2.8000000000000001E-2</v>
      </c>
      <c r="C246">
        <v>-0.2198</v>
      </c>
      <c r="D246">
        <v>2.8000000000000001E-2</v>
      </c>
      <c r="E246">
        <v>-0.2198</v>
      </c>
      <c r="F246">
        <v>2.8000000000000001E-2</v>
      </c>
      <c r="G246">
        <v>-0.2198</v>
      </c>
      <c r="H246">
        <v>0.11860465116279</v>
      </c>
      <c r="I246">
        <v>0.11046511627906901</v>
      </c>
      <c r="J246">
        <v>0.120542635658914</v>
      </c>
      <c r="K246">
        <v>6.7403000000000005E-2</v>
      </c>
      <c r="L246">
        <v>6.7403000000000005E-2</v>
      </c>
      <c r="M246">
        <v>6.7403000000000005E-2</v>
      </c>
      <c r="N246">
        <v>2352.8000000000002</v>
      </c>
      <c r="O246">
        <v>222.95</v>
      </c>
      <c r="Q246">
        <f t="shared" si="24"/>
        <v>2.8000000000000001E-2</v>
      </c>
      <c r="R246">
        <f t="shared" si="25"/>
        <v>-0.2198</v>
      </c>
      <c r="S246">
        <f t="shared" si="26"/>
        <v>0.11653746770025768</v>
      </c>
      <c r="T246">
        <f t="shared" si="27"/>
        <v>6.7403000000000005E-2</v>
      </c>
    </row>
    <row r="247" spans="1:24" x14ac:dyDescent="0.3">
      <c r="A247">
        <v>25</v>
      </c>
      <c r="B247">
        <v>2.5999999999999999E-2</v>
      </c>
      <c r="C247">
        <v>-0.26479999999999998</v>
      </c>
      <c r="D247">
        <v>2.5999999999999999E-2</v>
      </c>
      <c r="E247">
        <v>-0.26479999999999998</v>
      </c>
      <c r="F247">
        <v>2.5999999999999999E-2</v>
      </c>
      <c r="G247">
        <v>-0.26479999999999998</v>
      </c>
      <c r="H247">
        <v>0.14069767441860401</v>
      </c>
      <c r="I247">
        <v>0.13875968992248</v>
      </c>
      <c r="J247">
        <v>0.12984496124031</v>
      </c>
      <c r="K247">
        <v>6.0814E-2</v>
      </c>
      <c r="L247">
        <v>6.0814E-2</v>
      </c>
      <c r="M247">
        <v>6.0814E-2</v>
      </c>
      <c r="N247">
        <v>2453.8000000000002</v>
      </c>
      <c r="O247">
        <v>227.02</v>
      </c>
      <c r="Q247">
        <f t="shared" si="24"/>
        <v>2.5999999999999999E-2</v>
      </c>
      <c r="R247">
        <f t="shared" si="25"/>
        <v>-0.26479999999999998</v>
      </c>
      <c r="S247">
        <f t="shared" si="26"/>
        <v>0.13643410852713134</v>
      </c>
      <c r="T247">
        <f t="shared" si="27"/>
        <v>6.0814E-2</v>
      </c>
    </row>
    <row r="248" spans="1:24" x14ac:dyDescent="0.3">
      <c r="A248">
        <v>30</v>
      </c>
      <c r="B248">
        <v>2.1000000000000001E-2</v>
      </c>
      <c r="C248">
        <v>-0.43149999999999999</v>
      </c>
      <c r="D248">
        <v>2.1000000000000001E-2</v>
      </c>
      <c r="E248">
        <v>-0.43149999999999999</v>
      </c>
      <c r="F248">
        <v>2.1000000000000001E-2</v>
      </c>
      <c r="G248">
        <v>-0.43149999999999999</v>
      </c>
      <c r="H248">
        <v>0.14612403100775101</v>
      </c>
      <c r="I248">
        <v>0.137596899224806</v>
      </c>
      <c r="J248">
        <v>0.154263565891472</v>
      </c>
      <c r="K248">
        <v>5.8487999999999998E-2</v>
      </c>
      <c r="L248">
        <v>5.8487999999999998E-2</v>
      </c>
      <c r="M248">
        <v>5.8487999999999998E-2</v>
      </c>
      <c r="N248">
        <v>2554.5</v>
      </c>
      <c r="O248">
        <v>244.64</v>
      </c>
      <c r="Q248">
        <f t="shared" si="24"/>
        <v>2.1000000000000001E-2</v>
      </c>
      <c r="R248">
        <f t="shared" si="25"/>
        <v>-0.43149999999999999</v>
      </c>
      <c r="S248">
        <f t="shared" si="26"/>
        <v>0.145994832041343</v>
      </c>
      <c r="T248">
        <f t="shared" si="27"/>
        <v>5.8488000000000005E-2</v>
      </c>
    </row>
    <row r="249" spans="1:24" x14ac:dyDescent="0.3">
      <c r="A249">
        <v>35</v>
      </c>
      <c r="B249">
        <v>1.2E-2</v>
      </c>
      <c r="C249">
        <v>-0.57779999999999998</v>
      </c>
      <c r="D249">
        <v>1.2E-2</v>
      </c>
      <c r="E249">
        <v>-0.57779999999999998</v>
      </c>
      <c r="F249">
        <v>1.2E-2</v>
      </c>
      <c r="G249">
        <v>-0.57779999999999998</v>
      </c>
      <c r="H249">
        <v>0.15581395348837199</v>
      </c>
      <c r="I249">
        <v>0.13062015503875901</v>
      </c>
      <c r="J249">
        <v>0.143023255813953</v>
      </c>
      <c r="K249">
        <v>5.5E-2</v>
      </c>
      <c r="L249">
        <v>5.5E-2</v>
      </c>
      <c r="M249">
        <v>5.5E-2</v>
      </c>
      <c r="N249">
        <v>2663.7</v>
      </c>
      <c r="O249">
        <v>267.88</v>
      </c>
      <c r="Q249">
        <f t="shared" si="24"/>
        <v>1.2000000000000002E-2</v>
      </c>
      <c r="R249">
        <f t="shared" si="25"/>
        <v>-0.57779999999999998</v>
      </c>
      <c r="S249">
        <f t="shared" si="26"/>
        <v>0.14315245478036134</v>
      </c>
      <c r="T249">
        <f t="shared" si="27"/>
        <v>5.5E-2</v>
      </c>
    </row>
    <row r="250" spans="1:24" x14ac:dyDescent="0.3">
      <c r="A250">
        <v>40</v>
      </c>
      <c r="B250">
        <v>1.6E-2</v>
      </c>
      <c r="C250">
        <v>-0.50509999999999999</v>
      </c>
      <c r="D250">
        <v>1.6E-2</v>
      </c>
      <c r="E250">
        <v>-0.50509999999999999</v>
      </c>
      <c r="F250">
        <v>1.6E-2</v>
      </c>
      <c r="G250">
        <v>-0.50509999999999999</v>
      </c>
      <c r="H250">
        <v>0.12984496124031</v>
      </c>
      <c r="I250">
        <v>0.14844961240310001</v>
      </c>
      <c r="J250">
        <v>0.126744186046511</v>
      </c>
      <c r="K250">
        <v>5.9263999999999997E-2</v>
      </c>
      <c r="L250">
        <v>5.9263999999999997E-2</v>
      </c>
      <c r="M250">
        <v>5.9263999999999997E-2</v>
      </c>
      <c r="N250">
        <v>2740.6</v>
      </c>
      <c r="O250">
        <v>246.89</v>
      </c>
      <c r="Q250">
        <f t="shared" si="24"/>
        <v>1.6E-2</v>
      </c>
      <c r="R250">
        <f t="shared" si="25"/>
        <v>-0.50509999999999999</v>
      </c>
      <c r="S250">
        <f t="shared" si="26"/>
        <v>0.13501291989664035</v>
      </c>
      <c r="T250">
        <f t="shared" si="27"/>
        <v>5.9264000000000004E-2</v>
      </c>
    </row>
    <row r="251" spans="1:24" x14ac:dyDescent="0.3">
      <c r="A251">
        <v>45</v>
      </c>
      <c r="B251">
        <v>1.9E-2</v>
      </c>
      <c r="C251">
        <v>-0.48099999999999998</v>
      </c>
      <c r="D251">
        <v>1.9E-2</v>
      </c>
      <c r="E251">
        <v>-0.48099999999999998</v>
      </c>
      <c r="F251">
        <v>1.9E-2</v>
      </c>
      <c r="G251">
        <v>-0.48099999999999998</v>
      </c>
      <c r="H251">
        <v>0.12635658914728601</v>
      </c>
      <c r="I251">
        <v>0.112403100775193</v>
      </c>
      <c r="J251">
        <v>0.12713178294573599</v>
      </c>
      <c r="K251">
        <v>5.6550000000000003E-2</v>
      </c>
      <c r="L251">
        <v>5.6550000000000003E-2</v>
      </c>
      <c r="M251">
        <v>5.6550000000000003E-2</v>
      </c>
      <c r="N251">
        <v>2864.3</v>
      </c>
      <c r="O251">
        <v>262.5</v>
      </c>
      <c r="Q251">
        <f t="shared" si="24"/>
        <v>1.9E-2</v>
      </c>
      <c r="R251">
        <f t="shared" si="25"/>
        <v>-0.48100000000000004</v>
      </c>
      <c r="S251">
        <f t="shared" si="26"/>
        <v>0.121963824289405</v>
      </c>
      <c r="T251">
        <f t="shared" si="27"/>
        <v>5.655000000000001E-2</v>
      </c>
    </row>
    <row r="252" spans="1:24" x14ac:dyDescent="0.3">
      <c r="A252">
        <v>50</v>
      </c>
      <c r="B252">
        <v>2.3E-2</v>
      </c>
      <c r="C252">
        <v>-0.59399999999999997</v>
      </c>
      <c r="D252">
        <v>2.3E-2</v>
      </c>
      <c r="E252">
        <v>-0.59399999999999997</v>
      </c>
      <c r="F252">
        <v>2.3E-2</v>
      </c>
      <c r="G252">
        <v>-0.59399999999999997</v>
      </c>
      <c r="H252">
        <v>0.110077519379844</v>
      </c>
      <c r="I252">
        <v>0.128682170542635</v>
      </c>
      <c r="J252">
        <v>9.4573643410852698E-2</v>
      </c>
      <c r="K252">
        <v>4.9960999999999998E-2</v>
      </c>
      <c r="L252">
        <v>4.9960999999999998E-2</v>
      </c>
      <c r="M252">
        <v>4.9960999999999998E-2</v>
      </c>
      <c r="N252">
        <v>2978.1</v>
      </c>
      <c r="O252">
        <v>270.88</v>
      </c>
      <c r="Q252">
        <f t="shared" si="24"/>
        <v>2.3000000000000003E-2</v>
      </c>
      <c r="R252">
        <f t="shared" si="25"/>
        <v>-0.59399999999999997</v>
      </c>
      <c r="S252">
        <f t="shared" si="26"/>
        <v>0.11111111111111056</v>
      </c>
      <c r="T252">
        <f t="shared" si="27"/>
        <v>4.9960999999999998E-2</v>
      </c>
    </row>
    <row r="253" spans="1:24" x14ac:dyDescent="0.3">
      <c r="A253">
        <v>55</v>
      </c>
      <c r="B253">
        <v>2.5999999999999999E-2</v>
      </c>
      <c r="C253">
        <v>-0.75439999999999996</v>
      </c>
      <c r="D253">
        <v>2.5999999999999999E-2</v>
      </c>
      <c r="E253">
        <v>-0.75439999999999996</v>
      </c>
      <c r="F253">
        <v>2.5999999999999999E-2</v>
      </c>
      <c r="G253">
        <v>-0.75439999999999996</v>
      </c>
      <c r="H253">
        <v>0.113953488372093</v>
      </c>
      <c r="I253">
        <v>0.11434108527131701</v>
      </c>
      <c r="J253">
        <v>0.10813953488372</v>
      </c>
      <c r="K253">
        <v>5.3061999999999998E-2</v>
      </c>
      <c r="L253">
        <v>5.3061999999999998E-2</v>
      </c>
      <c r="M253">
        <v>5.3061999999999998E-2</v>
      </c>
      <c r="N253">
        <v>3104.9</v>
      </c>
      <c r="O253">
        <v>270.39</v>
      </c>
      <c r="Q253">
        <f t="shared" si="24"/>
        <v>2.5999999999999999E-2</v>
      </c>
      <c r="R253">
        <f t="shared" si="25"/>
        <v>-0.75439999999999996</v>
      </c>
      <c r="S253">
        <f t="shared" si="26"/>
        <v>0.11214470284237665</v>
      </c>
      <c r="T253">
        <f t="shared" si="27"/>
        <v>5.3061999999999998E-2</v>
      </c>
    </row>
    <row r="254" spans="1:24" x14ac:dyDescent="0.3">
      <c r="A254">
        <v>60</v>
      </c>
      <c r="B254">
        <v>1.9E-2</v>
      </c>
      <c r="C254">
        <v>-0.91100000000000003</v>
      </c>
      <c r="D254">
        <v>1.9E-2</v>
      </c>
      <c r="E254">
        <v>-0.91100000000000003</v>
      </c>
      <c r="F254">
        <v>1.9E-2</v>
      </c>
      <c r="G254">
        <v>-0.91100000000000003</v>
      </c>
      <c r="H254">
        <v>0.112790697674418</v>
      </c>
      <c r="I254">
        <v>0.10968992248062</v>
      </c>
      <c r="J254">
        <v>0.11046511627906901</v>
      </c>
      <c r="K254">
        <v>5.1124000000000003E-2</v>
      </c>
      <c r="L254">
        <v>5.1124000000000003E-2</v>
      </c>
      <c r="M254">
        <v>5.1124000000000003E-2</v>
      </c>
      <c r="N254">
        <v>3005.4</v>
      </c>
      <c r="O254">
        <v>271.52</v>
      </c>
      <c r="Q254">
        <f t="shared" si="24"/>
        <v>1.9E-2</v>
      </c>
      <c r="R254">
        <f t="shared" si="25"/>
        <v>-0.91100000000000003</v>
      </c>
      <c r="S254">
        <f t="shared" si="26"/>
        <v>0.11098191214470234</v>
      </c>
      <c r="T254">
        <f t="shared" si="27"/>
        <v>5.1124000000000003E-2</v>
      </c>
    </row>
    <row r="255" spans="1:24" x14ac:dyDescent="0.3">
      <c r="A255">
        <v>65</v>
      </c>
      <c r="B255">
        <v>1.9E-2</v>
      </c>
      <c r="C255">
        <v>-0.95499999999999996</v>
      </c>
      <c r="D255">
        <v>1.9E-2</v>
      </c>
      <c r="E255">
        <v>-0.95499999999999996</v>
      </c>
      <c r="F255">
        <v>1.9E-2</v>
      </c>
      <c r="G255">
        <v>-0.95499999999999996</v>
      </c>
      <c r="H255">
        <v>0.12093023255813901</v>
      </c>
      <c r="I255">
        <v>0.107751937984496</v>
      </c>
      <c r="J255">
        <v>0.124031007751937</v>
      </c>
      <c r="K255">
        <v>4.3372000000000001E-2</v>
      </c>
      <c r="L255">
        <v>4.3372000000000001E-2</v>
      </c>
      <c r="M255">
        <v>4.3372000000000001E-2</v>
      </c>
      <c r="N255">
        <v>3099.7</v>
      </c>
      <c r="O255">
        <v>288.83999999999997</v>
      </c>
      <c r="Q255">
        <f t="shared" si="24"/>
        <v>1.9E-2</v>
      </c>
      <c r="R255">
        <f t="shared" si="25"/>
        <v>-0.95499999999999996</v>
      </c>
      <c r="S255">
        <f t="shared" si="26"/>
        <v>0.117571059431524</v>
      </c>
      <c r="T255">
        <f t="shared" si="27"/>
        <v>4.3372000000000001E-2</v>
      </c>
    </row>
    <row r="256" spans="1:24" x14ac:dyDescent="0.3">
      <c r="A256">
        <v>70</v>
      </c>
      <c r="B256">
        <v>2.3E-2</v>
      </c>
      <c r="C256">
        <v>-0.96989999999999998</v>
      </c>
      <c r="D256">
        <v>2.3E-2</v>
      </c>
      <c r="E256">
        <v>-0.96989999999999998</v>
      </c>
      <c r="F256">
        <v>2.3E-2</v>
      </c>
      <c r="G256">
        <v>-0.96989999999999998</v>
      </c>
      <c r="H256">
        <v>0.11434108527131701</v>
      </c>
      <c r="I256">
        <v>0.12596899224806199</v>
      </c>
      <c r="J256">
        <v>0.116666666666666</v>
      </c>
      <c r="K256">
        <v>4.4146999999999999E-2</v>
      </c>
      <c r="L256">
        <v>4.4146999999999999E-2</v>
      </c>
      <c r="M256">
        <v>4.4146999999999999E-2</v>
      </c>
      <c r="N256">
        <v>3219.2</v>
      </c>
      <c r="O256">
        <v>318.97000000000003</v>
      </c>
      <c r="Q256">
        <f t="shared" si="24"/>
        <v>2.3000000000000003E-2</v>
      </c>
      <c r="R256">
        <f t="shared" si="25"/>
        <v>-0.96989999999999998</v>
      </c>
      <c r="S256">
        <f t="shared" si="26"/>
        <v>0.11899224806201499</v>
      </c>
      <c r="T256">
        <f t="shared" si="27"/>
        <v>4.4146999999999999E-2</v>
      </c>
    </row>
    <row r="257" spans="1:20" x14ac:dyDescent="0.3">
      <c r="A257">
        <v>75</v>
      </c>
      <c r="B257">
        <v>1.9E-2</v>
      </c>
      <c r="C257">
        <v>-1.0282</v>
      </c>
      <c r="D257">
        <v>1.9E-2</v>
      </c>
      <c r="E257">
        <v>-1.0282</v>
      </c>
      <c r="F257">
        <v>1.9E-2</v>
      </c>
      <c r="G257">
        <v>-1.0282</v>
      </c>
      <c r="H257">
        <v>8.9922480620154996E-2</v>
      </c>
      <c r="I257">
        <v>9.1085271317829397E-2</v>
      </c>
      <c r="J257">
        <v>0.10968992248062</v>
      </c>
      <c r="K257">
        <v>4.1047E-2</v>
      </c>
      <c r="L257">
        <v>4.1047E-2</v>
      </c>
      <c r="M257">
        <v>4.1047E-2</v>
      </c>
      <c r="N257">
        <v>3350.7</v>
      </c>
      <c r="O257">
        <v>304.64</v>
      </c>
      <c r="Q257">
        <f t="shared" si="24"/>
        <v>1.9E-2</v>
      </c>
      <c r="R257">
        <f t="shared" si="25"/>
        <v>-1.0282</v>
      </c>
      <c r="S257">
        <f t="shared" si="26"/>
        <v>9.6899224806201459E-2</v>
      </c>
      <c r="T257">
        <f t="shared" si="27"/>
        <v>4.1047E-2</v>
      </c>
    </row>
    <row r="258" spans="1:20" x14ac:dyDescent="0.3">
      <c r="A258">
        <v>80</v>
      </c>
      <c r="B258">
        <v>2.1000000000000001E-2</v>
      </c>
      <c r="C258">
        <v>-0.97060000000000002</v>
      </c>
      <c r="D258">
        <v>2.1000000000000001E-2</v>
      </c>
      <c r="E258">
        <v>-0.97060000000000002</v>
      </c>
      <c r="F258">
        <v>2.1000000000000001E-2</v>
      </c>
      <c r="G258">
        <v>-0.97060000000000002</v>
      </c>
      <c r="H258">
        <v>9.8837209302325493E-2</v>
      </c>
      <c r="I258">
        <v>0.1</v>
      </c>
      <c r="J258">
        <v>9.1472868217054207E-2</v>
      </c>
      <c r="K258">
        <v>3.8720999999999998E-2</v>
      </c>
      <c r="L258">
        <v>3.8720999999999998E-2</v>
      </c>
      <c r="M258">
        <v>3.8720999999999998E-2</v>
      </c>
      <c r="N258">
        <v>3453.5</v>
      </c>
      <c r="O258">
        <v>336.17</v>
      </c>
      <c r="Q258">
        <f t="shared" si="24"/>
        <v>2.1000000000000001E-2</v>
      </c>
      <c r="R258">
        <f t="shared" si="25"/>
        <v>-0.97060000000000002</v>
      </c>
      <c r="S258">
        <f t="shared" si="26"/>
        <v>9.6770025839793231E-2</v>
      </c>
      <c r="T258">
        <f t="shared" si="27"/>
        <v>3.8720999999999998E-2</v>
      </c>
    </row>
    <row r="259" spans="1:20" x14ac:dyDescent="0.3">
      <c r="A259">
        <v>85</v>
      </c>
      <c r="B259">
        <v>1.9E-2</v>
      </c>
      <c r="C259">
        <v>-0.9536</v>
      </c>
      <c r="D259">
        <v>1.9E-2</v>
      </c>
      <c r="E259">
        <v>-0.9536</v>
      </c>
      <c r="F259">
        <v>1.9E-2</v>
      </c>
      <c r="G259">
        <v>-0.9536</v>
      </c>
      <c r="H259">
        <v>9.3798449612402995E-2</v>
      </c>
      <c r="I259">
        <v>9.2635658914728594E-2</v>
      </c>
      <c r="J259">
        <v>8.7209302325581398E-2</v>
      </c>
      <c r="K259">
        <v>3.6007999999999998E-2</v>
      </c>
      <c r="L259">
        <v>3.6007999999999998E-2</v>
      </c>
      <c r="M259">
        <v>3.6007999999999998E-2</v>
      </c>
      <c r="N259">
        <v>3506.1</v>
      </c>
      <c r="O259">
        <v>318.89</v>
      </c>
      <c r="Q259">
        <f t="shared" si="24"/>
        <v>1.9E-2</v>
      </c>
      <c r="R259">
        <f t="shared" si="25"/>
        <v>-0.95360000000000011</v>
      </c>
      <c r="S259">
        <f t="shared" si="26"/>
        <v>9.1214470284237667E-2</v>
      </c>
      <c r="T259">
        <f t="shared" si="27"/>
        <v>3.6007999999999998E-2</v>
      </c>
    </row>
    <row r="260" spans="1:20" x14ac:dyDescent="0.3">
      <c r="A260">
        <v>90</v>
      </c>
      <c r="B260">
        <v>1.6E-2</v>
      </c>
      <c r="C260">
        <v>-0.98350000000000004</v>
      </c>
      <c r="D260">
        <v>1.6E-2</v>
      </c>
      <c r="E260">
        <v>-0.98350000000000004</v>
      </c>
      <c r="F260">
        <v>1.6E-2</v>
      </c>
      <c r="G260">
        <v>-0.98350000000000004</v>
      </c>
      <c r="H260">
        <v>8.7596899224806193E-2</v>
      </c>
      <c r="I260">
        <v>8.2945736434108505E-2</v>
      </c>
      <c r="J260">
        <v>8.0620155038759703E-2</v>
      </c>
      <c r="K260">
        <v>3.6783000000000003E-2</v>
      </c>
      <c r="L260">
        <v>3.6783000000000003E-2</v>
      </c>
      <c r="M260">
        <v>3.6783000000000003E-2</v>
      </c>
      <c r="N260">
        <v>3585.1</v>
      </c>
      <c r="O260">
        <v>350.39</v>
      </c>
      <c r="Q260">
        <f t="shared" si="24"/>
        <v>1.6E-2</v>
      </c>
      <c r="R260">
        <f t="shared" si="25"/>
        <v>-0.98349999999999993</v>
      </c>
      <c r="S260">
        <f t="shared" si="26"/>
        <v>8.3720930232558124E-2</v>
      </c>
      <c r="T260">
        <f t="shared" si="27"/>
        <v>3.6783000000000003E-2</v>
      </c>
    </row>
    <row r="261" spans="1:20" x14ac:dyDescent="0.3">
      <c r="A261">
        <v>95</v>
      </c>
      <c r="B261">
        <v>1.4E-2</v>
      </c>
      <c r="C261">
        <v>-1.0426</v>
      </c>
      <c r="D261">
        <v>1.4E-2</v>
      </c>
      <c r="E261">
        <v>-1.0426</v>
      </c>
      <c r="F261">
        <v>1.4E-2</v>
      </c>
      <c r="G261">
        <v>-1.0426</v>
      </c>
      <c r="H261">
        <v>8.21705426356589E-2</v>
      </c>
      <c r="I261">
        <v>8.2945736434108505E-2</v>
      </c>
      <c r="J261">
        <v>6.6666666666666596E-2</v>
      </c>
      <c r="K261">
        <v>3.2132000000000001E-2</v>
      </c>
      <c r="L261">
        <v>3.2132000000000001E-2</v>
      </c>
      <c r="M261">
        <v>3.2132000000000001E-2</v>
      </c>
      <c r="N261">
        <v>3702.8</v>
      </c>
      <c r="O261">
        <v>321.92</v>
      </c>
      <c r="Q261">
        <f t="shared" si="24"/>
        <v>1.4E-2</v>
      </c>
      <c r="R261">
        <f t="shared" si="25"/>
        <v>-1.0426</v>
      </c>
      <c r="S261">
        <f t="shared" si="26"/>
        <v>7.7260981912144658E-2</v>
      </c>
      <c r="T261">
        <f t="shared" si="27"/>
        <v>3.2132000000000001E-2</v>
      </c>
    </row>
    <row r="262" spans="1:20" x14ac:dyDescent="0.3">
      <c r="A262">
        <v>100</v>
      </c>
      <c r="B262">
        <v>1.4E-2</v>
      </c>
      <c r="C262">
        <v>-1.1328</v>
      </c>
      <c r="D262">
        <v>1.4E-2</v>
      </c>
      <c r="E262">
        <v>-1.1328</v>
      </c>
      <c r="F262">
        <v>1.4E-2</v>
      </c>
      <c r="G262">
        <v>-1.1328</v>
      </c>
      <c r="H262">
        <v>8.1395348837209294E-2</v>
      </c>
      <c r="I262">
        <v>8.1782945736434104E-2</v>
      </c>
      <c r="J262">
        <v>7.5968992248062001E-2</v>
      </c>
      <c r="K262">
        <v>3.2518999999999999E-2</v>
      </c>
      <c r="L262">
        <v>3.2518999999999999E-2</v>
      </c>
      <c r="M262">
        <v>3.2518999999999999E-2</v>
      </c>
      <c r="N262">
        <v>3858.1</v>
      </c>
      <c r="O262">
        <v>369.52</v>
      </c>
      <c r="Q262">
        <f t="shared" si="24"/>
        <v>1.4E-2</v>
      </c>
      <c r="R262">
        <f t="shared" si="25"/>
        <v>-1.1328</v>
      </c>
      <c r="S262">
        <f t="shared" si="26"/>
        <v>7.97157622739018E-2</v>
      </c>
      <c r="T262">
        <f t="shared" si="27"/>
        <v>3.2518999999999999E-2</v>
      </c>
    </row>
    <row r="263" spans="1:20" x14ac:dyDescent="0.3">
      <c r="A263">
        <v>105</v>
      </c>
      <c r="B263">
        <v>1.4E-2</v>
      </c>
      <c r="C263">
        <v>-1.0898000000000001</v>
      </c>
      <c r="D263">
        <v>1.4E-2</v>
      </c>
      <c r="E263">
        <v>-1.0898000000000001</v>
      </c>
      <c r="F263">
        <v>1.4E-2</v>
      </c>
      <c r="G263">
        <v>-1.0898000000000001</v>
      </c>
      <c r="H263">
        <v>6.8217054263565793E-2</v>
      </c>
      <c r="I263">
        <v>7.4031007751937897E-2</v>
      </c>
      <c r="J263">
        <v>6.3953488372092998E-2</v>
      </c>
      <c r="K263">
        <v>3.0581000000000001E-2</v>
      </c>
      <c r="L263">
        <v>3.0581000000000001E-2</v>
      </c>
      <c r="M263">
        <v>3.0581000000000001E-2</v>
      </c>
      <c r="N263">
        <v>3958.2</v>
      </c>
      <c r="O263">
        <v>366.5</v>
      </c>
      <c r="Q263">
        <f t="shared" si="24"/>
        <v>1.4E-2</v>
      </c>
      <c r="R263">
        <f t="shared" si="25"/>
        <v>-1.0898000000000001</v>
      </c>
      <c r="S263">
        <f t="shared" si="26"/>
        <v>6.8733850129198901E-2</v>
      </c>
      <c r="T263">
        <f t="shared" si="27"/>
        <v>3.0581000000000001E-2</v>
      </c>
    </row>
    <row r="264" spans="1:20" x14ac:dyDescent="0.3">
      <c r="A264">
        <v>110</v>
      </c>
      <c r="B264">
        <v>1.2E-2</v>
      </c>
      <c r="C264">
        <v>-1.2116</v>
      </c>
      <c r="D264">
        <v>1.2E-2</v>
      </c>
      <c r="E264">
        <v>-1.2116</v>
      </c>
      <c r="F264">
        <v>1.2E-2</v>
      </c>
      <c r="G264">
        <v>-1.2116</v>
      </c>
      <c r="H264">
        <v>6.0077519379844901E-2</v>
      </c>
      <c r="I264">
        <v>6.7441860465116202E-2</v>
      </c>
      <c r="J264">
        <v>5.2713178294573601E-2</v>
      </c>
      <c r="K264">
        <v>3.1744000000000001E-2</v>
      </c>
      <c r="L264">
        <v>3.1744000000000001E-2</v>
      </c>
      <c r="M264">
        <v>3.1744000000000001E-2</v>
      </c>
      <c r="N264">
        <v>4103.6000000000004</v>
      </c>
      <c r="O264">
        <v>324.48</v>
      </c>
      <c r="Q264">
        <f t="shared" si="24"/>
        <v>1.2000000000000002E-2</v>
      </c>
      <c r="R264">
        <f t="shared" si="25"/>
        <v>-1.2116</v>
      </c>
      <c r="S264">
        <f t="shared" si="26"/>
        <v>6.0077519379844901E-2</v>
      </c>
      <c r="T264">
        <f t="shared" si="27"/>
        <v>3.1744000000000001E-2</v>
      </c>
    </row>
    <row r="265" spans="1:20" x14ac:dyDescent="0.3">
      <c r="A265">
        <v>115</v>
      </c>
      <c r="B265">
        <v>8.9999999999999993E-3</v>
      </c>
      <c r="C265">
        <v>-1.3284</v>
      </c>
      <c r="D265">
        <v>8.9999999999999993E-3</v>
      </c>
      <c r="E265">
        <v>-1.3284</v>
      </c>
      <c r="F265">
        <v>8.9999999999999993E-3</v>
      </c>
      <c r="G265">
        <v>-1.3284</v>
      </c>
      <c r="H265">
        <v>6.0465116279069697E-2</v>
      </c>
      <c r="I265">
        <v>6.8992248062015496E-2</v>
      </c>
      <c r="J265">
        <v>5.9689922480620099E-2</v>
      </c>
      <c r="K265">
        <v>2.7092999999999999E-2</v>
      </c>
      <c r="L265">
        <v>2.7092999999999999E-2</v>
      </c>
      <c r="M265">
        <v>2.7092999999999999E-2</v>
      </c>
      <c r="N265">
        <v>4254.8</v>
      </c>
      <c r="O265">
        <v>381.16</v>
      </c>
      <c r="Q265">
        <f t="shared" si="24"/>
        <v>8.9999999999999993E-3</v>
      </c>
      <c r="R265">
        <f t="shared" si="25"/>
        <v>-1.3284</v>
      </c>
      <c r="S265">
        <f t="shared" si="26"/>
        <v>6.3049095607235095E-2</v>
      </c>
      <c r="T265">
        <f t="shared" si="27"/>
        <v>2.7092999999999996E-2</v>
      </c>
    </row>
    <row r="266" spans="1:20" x14ac:dyDescent="0.3">
      <c r="A266">
        <v>120</v>
      </c>
      <c r="B266">
        <v>8.9999999999999993E-3</v>
      </c>
      <c r="C266">
        <v>-1.3661000000000001</v>
      </c>
      <c r="D266">
        <v>8.9999999999999993E-3</v>
      </c>
      <c r="E266">
        <v>-1.3661000000000001</v>
      </c>
      <c r="F266">
        <v>8.9999999999999993E-3</v>
      </c>
      <c r="G266">
        <v>-1.3661000000000001</v>
      </c>
      <c r="H266">
        <v>6.3565891472868202E-2</v>
      </c>
      <c r="I266">
        <v>6.5116279069767399E-2</v>
      </c>
      <c r="J266">
        <v>5.7364341085271303E-2</v>
      </c>
      <c r="K266">
        <v>2.5930000000000002E-2</v>
      </c>
      <c r="L266">
        <v>2.5930000000000002E-2</v>
      </c>
      <c r="M266">
        <v>2.5930000000000002E-2</v>
      </c>
      <c r="N266">
        <v>4370</v>
      </c>
      <c r="O266">
        <v>367.61</v>
      </c>
      <c r="Q266">
        <f t="shared" si="24"/>
        <v>8.9999999999999993E-3</v>
      </c>
      <c r="R266">
        <f t="shared" si="25"/>
        <v>-1.3661000000000001</v>
      </c>
      <c r="S266">
        <f t="shared" si="26"/>
        <v>6.2015503875968964E-2</v>
      </c>
      <c r="T266">
        <f t="shared" si="27"/>
        <v>2.5929999999999998E-2</v>
      </c>
    </row>
    <row r="267" spans="1:20" x14ac:dyDescent="0.3">
      <c r="A267">
        <v>125</v>
      </c>
      <c r="B267">
        <v>7.0000000000000001E-3</v>
      </c>
      <c r="C267">
        <v>-1.4701</v>
      </c>
      <c r="D267">
        <v>7.0000000000000001E-3</v>
      </c>
      <c r="E267">
        <v>-1.4701</v>
      </c>
      <c r="F267">
        <v>7.0000000000000001E-3</v>
      </c>
      <c r="G267">
        <v>-1.4701</v>
      </c>
      <c r="H267">
        <v>6.1240310077519303E-2</v>
      </c>
      <c r="I267">
        <v>4.9999999999999899E-2</v>
      </c>
      <c r="J267">
        <v>5.1162790697674397E-2</v>
      </c>
      <c r="K267">
        <v>2.3991999999999999E-2</v>
      </c>
      <c r="L267">
        <v>2.3991999999999999E-2</v>
      </c>
      <c r="M267">
        <v>2.3991999999999999E-2</v>
      </c>
      <c r="N267">
        <v>4481.7</v>
      </c>
      <c r="O267">
        <v>363.81</v>
      </c>
      <c r="Q267">
        <f t="shared" si="24"/>
        <v>7.0000000000000001E-3</v>
      </c>
      <c r="R267">
        <f t="shared" si="25"/>
        <v>-1.4700999999999997</v>
      </c>
      <c r="S267">
        <f t="shared" si="26"/>
        <v>5.4134366925064535E-2</v>
      </c>
      <c r="T267">
        <f t="shared" si="27"/>
        <v>2.3991999999999999E-2</v>
      </c>
    </row>
    <row r="268" spans="1:20" x14ac:dyDescent="0.3">
      <c r="A268">
        <v>130</v>
      </c>
      <c r="B268">
        <v>5.0000000000000001E-3</v>
      </c>
      <c r="C268">
        <v>-1.5283</v>
      </c>
      <c r="D268">
        <v>5.0000000000000001E-3</v>
      </c>
      <c r="E268">
        <v>-1.5283</v>
      </c>
      <c r="F268">
        <v>5.0000000000000001E-3</v>
      </c>
      <c r="G268">
        <v>-1.5283</v>
      </c>
      <c r="H268">
        <v>5.6201550387596902E-2</v>
      </c>
      <c r="I268">
        <v>4.5736434108527103E-2</v>
      </c>
      <c r="J268">
        <v>5.34883720930232E-2</v>
      </c>
      <c r="K268">
        <v>2.0504000000000001E-2</v>
      </c>
      <c r="L268">
        <v>2.0504000000000001E-2</v>
      </c>
      <c r="M268">
        <v>2.0504000000000001E-2</v>
      </c>
      <c r="N268">
        <v>4680.2</v>
      </c>
      <c r="O268">
        <v>345.09</v>
      </c>
      <c r="Q268">
        <f t="shared" si="24"/>
        <v>5.0000000000000001E-3</v>
      </c>
      <c r="R268">
        <f t="shared" si="25"/>
        <v>-1.5283</v>
      </c>
      <c r="S268">
        <f t="shared" si="26"/>
        <v>5.180878552971574E-2</v>
      </c>
      <c r="T268">
        <f t="shared" si="27"/>
        <v>2.0504000000000001E-2</v>
      </c>
    </row>
    <row r="269" spans="1:20" x14ac:dyDescent="0.3">
      <c r="A269">
        <v>135</v>
      </c>
      <c r="B269">
        <v>5.0000000000000001E-3</v>
      </c>
      <c r="C269">
        <v>-1.4854000000000001</v>
      </c>
      <c r="D269">
        <v>5.0000000000000001E-3</v>
      </c>
      <c r="E269">
        <v>-1.4854000000000001</v>
      </c>
      <c r="F269">
        <v>5.0000000000000001E-3</v>
      </c>
      <c r="G269">
        <v>-1.4854000000000001</v>
      </c>
      <c r="H269">
        <v>4.6899224806201498E-2</v>
      </c>
      <c r="I269">
        <v>4.4573643410852702E-2</v>
      </c>
      <c r="J269">
        <v>5.5038759689922397E-2</v>
      </c>
      <c r="K269">
        <v>2.2442E-2</v>
      </c>
      <c r="L269">
        <v>2.2442E-2</v>
      </c>
      <c r="M269">
        <v>2.2442E-2</v>
      </c>
      <c r="N269">
        <v>4841.3</v>
      </c>
      <c r="O269">
        <v>552.61</v>
      </c>
      <c r="Q269">
        <f t="shared" si="24"/>
        <v>5.0000000000000001E-3</v>
      </c>
      <c r="R269">
        <f t="shared" si="25"/>
        <v>-1.4854000000000001</v>
      </c>
      <c r="S269">
        <f t="shared" si="26"/>
        <v>4.8837209302325525E-2</v>
      </c>
      <c r="T269">
        <f t="shared" si="27"/>
        <v>2.2442E-2</v>
      </c>
    </row>
    <row r="270" spans="1:20" x14ac:dyDescent="0.3">
      <c r="A270">
        <v>140</v>
      </c>
      <c r="B270">
        <v>5.0000000000000001E-3</v>
      </c>
      <c r="C270">
        <v>-1.6386000000000001</v>
      </c>
      <c r="D270">
        <v>5.0000000000000001E-3</v>
      </c>
      <c r="E270">
        <v>-1.6386000000000001</v>
      </c>
      <c r="F270">
        <v>5.0000000000000001E-3</v>
      </c>
      <c r="G270">
        <v>-1.6386000000000001</v>
      </c>
      <c r="H270">
        <v>4.4573643410852702E-2</v>
      </c>
      <c r="I270">
        <v>4.8837209302325497E-2</v>
      </c>
      <c r="J270">
        <v>4.8837209302325497E-2</v>
      </c>
      <c r="K270">
        <v>2.3605000000000001E-2</v>
      </c>
      <c r="L270">
        <v>2.3605000000000001E-2</v>
      </c>
      <c r="M270">
        <v>2.3605000000000001E-2</v>
      </c>
      <c r="N270">
        <v>4954.1000000000004</v>
      </c>
      <c r="O270">
        <v>376.45</v>
      </c>
      <c r="Q270">
        <f t="shared" si="24"/>
        <v>5.0000000000000001E-3</v>
      </c>
      <c r="R270">
        <f t="shared" si="25"/>
        <v>-1.6386000000000001</v>
      </c>
      <c r="S270">
        <f t="shared" si="26"/>
        <v>4.7416020671834563E-2</v>
      </c>
      <c r="T270">
        <f t="shared" si="27"/>
        <v>2.3605000000000001E-2</v>
      </c>
    </row>
    <row r="271" spans="1:20" x14ac:dyDescent="0.3">
      <c r="A271">
        <v>145</v>
      </c>
      <c r="B271">
        <v>5.0000000000000001E-3</v>
      </c>
      <c r="C271">
        <v>-1.7107000000000001</v>
      </c>
      <c r="D271">
        <v>5.0000000000000001E-3</v>
      </c>
      <c r="E271">
        <v>-1.7107000000000001</v>
      </c>
      <c r="F271">
        <v>5.0000000000000001E-3</v>
      </c>
      <c r="G271">
        <v>-1.7107000000000001</v>
      </c>
      <c r="H271">
        <v>4.8837209302325497E-2</v>
      </c>
      <c r="I271">
        <v>4.5736434108527103E-2</v>
      </c>
      <c r="J271">
        <v>4.2635658914728598E-2</v>
      </c>
      <c r="K271">
        <v>1.8565999999999999E-2</v>
      </c>
      <c r="L271">
        <v>1.8565999999999999E-2</v>
      </c>
      <c r="M271">
        <v>1.8565999999999999E-2</v>
      </c>
      <c r="N271">
        <v>4994.8999999999996</v>
      </c>
      <c r="O271">
        <v>365.31</v>
      </c>
      <c r="Q271">
        <f t="shared" si="24"/>
        <v>5.0000000000000001E-3</v>
      </c>
      <c r="R271">
        <f t="shared" si="25"/>
        <v>-1.7107000000000001</v>
      </c>
      <c r="S271">
        <f t="shared" si="26"/>
        <v>4.5736434108527069E-2</v>
      </c>
      <c r="T271">
        <f t="shared" si="27"/>
        <v>1.8565999999999999E-2</v>
      </c>
    </row>
    <row r="272" spans="1:20" x14ac:dyDescent="0.3">
      <c r="A272">
        <v>150</v>
      </c>
      <c r="B272">
        <v>5.0000000000000001E-3</v>
      </c>
      <c r="C272">
        <v>-1.6456999999999999</v>
      </c>
      <c r="D272">
        <v>5.0000000000000001E-3</v>
      </c>
      <c r="E272">
        <v>-1.6456999999999999</v>
      </c>
      <c r="F272">
        <v>5.0000000000000001E-3</v>
      </c>
      <c r="G272">
        <v>-1.6456999999999999</v>
      </c>
      <c r="H272">
        <v>3.7984496124031E-2</v>
      </c>
      <c r="I272">
        <v>4.2635658914728598E-2</v>
      </c>
      <c r="J272">
        <v>4.4961240310077498E-2</v>
      </c>
      <c r="K272">
        <v>1.8565999999999999E-2</v>
      </c>
      <c r="L272">
        <v>1.8565999999999999E-2</v>
      </c>
      <c r="M272">
        <v>1.8565999999999999E-2</v>
      </c>
      <c r="N272">
        <v>4692.2</v>
      </c>
      <c r="O272">
        <v>390.38</v>
      </c>
      <c r="Q272">
        <f t="shared" si="24"/>
        <v>5.0000000000000001E-3</v>
      </c>
      <c r="R272">
        <f t="shared" si="25"/>
        <v>-1.6456999999999999</v>
      </c>
      <c r="S272">
        <f t="shared" si="26"/>
        <v>4.1860465116279034E-2</v>
      </c>
      <c r="T272">
        <f t="shared" si="27"/>
        <v>1.8565999999999999E-2</v>
      </c>
    </row>
    <row r="273" spans="1:20" x14ac:dyDescent="0.3">
      <c r="A273">
        <v>155</v>
      </c>
      <c r="B273">
        <v>2E-3</v>
      </c>
      <c r="C273">
        <v>-1.8273999999999999</v>
      </c>
      <c r="D273">
        <v>2E-3</v>
      </c>
      <c r="E273">
        <v>-1.8273999999999999</v>
      </c>
      <c r="F273">
        <v>2E-3</v>
      </c>
      <c r="G273">
        <v>-1.8273999999999999</v>
      </c>
      <c r="H273">
        <v>4.0310077519379803E-2</v>
      </c>
      <c r="I273">
        <v>2.9457364341085202E-2</v>
      </c>
      <c r="J273">
        <v>4.5348837209302301E-2</v>
      </c>
      <c r="K273">
        <v>2.0504000000000001E-2</v>
      </c>
      <c r="L273">
        <v>2.0504000000000001E-2</v>
      </c>
      <c r="M273">
        <v>2.0504000000000001E-2</v>
      </c>
      <c r="N273">
        <v>4850.7</v>
      </c>
      <c r="O273">
        <v>523.27</v>
      </c>
      <c r="Q273">
        <f t="shared" si="24"/>
        <v>2E-3</v>
      </c>
      <c r="R273">
        <f t="shared" si="25"/>
        <v>-1.8273999999999999</v>
      </c>
      <c r="S273">
        <f t="shared" si="26"/>
        <v>3.8372093023255768E-2</v>
      </c>
      <c r="T273">
        <f t="shared" si="27"/>
        <v>2.0504000000000001E-2</v>
      </c>
    </row>
    <row r="274" spans="1:20" x14ac:dyDescent="0.3">
      <c r="A274">
        <v>160</v>
      </c>
      <c r="B274">
        <v>0</v>
      </c>
      <c r="C274">
        <v>-1.8501000000000001</v>
      </c>
      <c r="D274">
        <v>0</v>
      </c>
      <c r="E274">
        <v>-1.8501000000000001</v>
      </c>
      <c r="F274">
        <v>0</v>
      </c>
      <c r="G274">
        <v>-1.8501000000000001</v>
      </c>
      <c r="H274">
        <v>3.5658914728682101E-2</v>
      </c>
      <c r="I274">
        <v>3.6821705426356502E-2</v>
      </c>
      <c r="J274">
        <v>3.6046511627906903E-2</v>
      </c>
      <c r="K274">
        <v>1.7016E-2</v>
      </c>
      <c r="L274">
        <v>1.7016E-2</v>
      </c>
      <c r="M274">
        <v>1.7016E-2</v>
      </c>
      <c r="N274">
        <v>4543.8999999999996</v>
      </c>
      <c r="O274">
        <v>454.47</v>
      </c>
      <c r="Q274">
        <f t="shared" si="24"/>
        <v>0</v>
      </c>
      <c r="R274">
        <f t="shared" si="25"/>
        <v>-1.8501000000000001</v>
      </c>
      <c r="S274">
        <f t="shared" si="26"/>
        <v>3.6175710594315173E-2</v>
      </c>
      <c r="T274">
        <f t="shared" si="27"/>
        <v>1.7016E-2</v>
      </c>
    </row>
    <row r="275" spans="1:20" x14ac:dyDescent="0.3">
      <c r="A275">
        <v>165</v>
      </c>
      <c r="B275">
        <v>0</v>
      </c>
      <c r="C275">
        <v>-1.8937999999999999</v>
      </c>
      <c r="D275">
        <v>0</v>
      </c>
      <c r="E275">
        <v>-1.8937999999999999</v>
      </c>
      <c r="F275">
        <v>0</v>
      </c>
      <c r="G275">
        <v>-1.8937999999999999</v>
      </c>
      <c r="H275">
        <v>3.8372093023255803E-2</v>
      </c>
      <c r="I275">
        <v>3.5271317829457298E-2</v>
      </c>
      <c r="J275">
        <v>3.8759689922480599E-2</v>
      </c>
      <c r="K275">
        <v>1.6628E-2</v>
      </c>
      <c r="L275">
        <v>1.6628E-2</v>
      </c>
      <c r="M275">
        <v>1.6628E-2</v>
      </c>
      <c r="N275">
        <v>4736.3999999999996</v>
      </c>
      <c r="O275">
        <v>385.69</v>
      </c>
      <c r="Q275">
        <f t="shared" si="24"/>
        <v>0</v>
      </c>
      <c r="R275">
        <f t="shared" si="25"/>
        <v>-1.8937999999999999</v>
      </c>
      <c r="S275">
        <f t="shared" si="26"/>
        <v>3.74677002583979E-2</v>
      </c>
      <c r="T275">
        <f t="shared" si="27"/>
        <v>1.6628E-2</v>
      </c>
    </row>
    <row r="276" spans="1:20" x14ac:dyDescent="0.3">
      <c r="A276">
        <v>170</v>
      </c>
      <c r="B276">
        <v>0</v>
      </c>
      <c r="C276">
        <v>-1.9892000000000001</v>
      </c>
      <c r="D276">
        <v>0</v>
      </c>
      <c r="E276">
        <v>-1.9892000000000001</v>
      </c>
      <c r="F276">
        <v>0</v>
      </c>
      <c r="G276">
        <v>-1.9892000000000001</v>
      </c>
      <c r="H276">
        <v>3.6046511627906903E-2</v>
      </c>
      <c r="I276">
        <v>3.3333333333333298E-2</v>
      </c>
      <c r="J276">
        <v>3.5658914728682101E-2</v>
      </c>
      <c r="K276">
        <v>1.7016E-2</v>
      </c>
      <c r="L276">
        <v>1.7016E-2</v>
      </c>
      <c r="M276">
        <v>1.7016E-2</v>
      </c>
      <c r="N276">
        <v>4742.8</v>
      </c>
      <c r="O276">
        <v>416.94</v>
      </c>
      <c r="Q276">
        <f t="shared" si="24"/>
        <v>0</v>
      </c>
      <c r="R276">
        <f t="shared" si="25"/>
        <v>-1.9892000000000001</v>
      </c>
      <c r="S276">
        <f t="shared" si="26"/>
        <v>3.5012919896640765E-2</v>
      </c>
      <c r="T276">
        <f t="shared" si="27"/>
        <v>1.7016E-2</v>
      </c>
    </row>
    <row r="277" spans="1:20" x14ac:dyDescent="0.3">
      <c r="A277">
        <v>175</v>
      </c>
      <c r="B277">
        <v>0</v>
      </c>
      <c r="C277">
        <v>-2.0177</v>
      </c>
      <c r="D277">
        <v>0</v>
      </c>
      <c r="E277">
        <v>-2.0177</v>
      </c>
      <c r="F277">
        <v>0</v>
      </c>
      <c r="G277">
        <v>-2.0177</v>
      </c>
      <c r="H277">
        <v>3.4496124031007699E-2</v>
      </c>
      <c r="I277">
        <v>3.1782945736434101E-2</v>
      </c>
      <c r="J277">
        <v>2.9069767441860399E-2</v>
      </c>
      <c r="K277">
        <v>1.5465E-2</v>
      </c>
      <c r="L277">
        <v>1.5465E-2</v>
      </c>
      <c r="M277">
        <v>1.5465E-2</v>
      </c>
      <c r="N277">
        <v>4844</v>
      </c>
      <c r="O277">
        <v>568.69000000000005</v>
      </c>
      <c r="Q277">
        <f t="shared" si="24"/>
        <v>0</v>
      </c>
      <c r="R277">
        <f t="shared" si="25"/>
        <v>-2.0177</v>
      </c>
      <c r="S277">
        <f t="shared" si="26"/>
        <v>3.1782945736434066E-2</v>
      </c>
      <c r="T277">
        <f t="shared" si="27"/>
        <v>1.5465E-2</v>
      </c>
    </row>
    <row r="278" spans="1:20" x14ac:dyDescent="0.3">
      <c r="A278">
        <v>180</v>
      </c>
      <c r="B278">
        <v>0</v>
      </c>
      <c r="C278">
        <v>-1.9977</v>
      </c>
      <c r="D278">
        <v>0</v>
      </c>
      <c r="E278">
        <v>-1.9977</v>
      </c>
      <c r="F278">
        <v>0</v>
      </c>
      <c r="G278">
        <v>-1.9977</v>
      </c>
      <c r="H278">
        <v>2.86821705426356E-2</v>
      </c>
      <c r="I278">
        <v>3.1395348837209298E-2</v>
      </c>
      <c r="J278">
        <v>2.4031007751937901E-2</v>
      </c>
      <c r="K278">
        <v>1.1977E-2</v>
      </c>
      <c r="L278">
        <v>1.1977E-2</v>
      </c>
      <c r="M278">
        <v>1.1977E-2</v>
      </c>
      <c r="N278">
        <v>4003.5</v>
      </c>
      <c r="O278">
        <v>507.31</v>
      </c>
      <c r="Q278">
        <f t="shared" si="24"/>
        <v>0</v>
      </c>
      <c r="R278">
        <f t="shared" si="25"/>
        <v>-1.9977</v>
      </c>
      <c r="S278">
        <f t="shared" si="26"/>
        <v>2.8036175710594264E-2</v>
      </c>
      <c r="T278">
        <f t="shared" si="27"/>
        <v>1.1977E-2</v>
      </c>
    </row>
    <row r="279" spans="1:20" x14ac:dyDescent="0.3">
      <c r="A279">
        <v>185</v>
      </c>
      <c r="B279">
        <v>0</v>
      </c>
      <c r="C279">
        <v>-2.0251000000000001</v>
      </c>
      <c r="D279">
        <v>0</v>
      </c>
      <c r="E279">
        <v>-2.0251000000000001</v>
      </c>
      <c r="F279">
        <v>0</v>
      </c>
      <c r="G279">
        <v>-2.0251000000000001</v>
      </c>
      <c r="H279">
        <v>2.5968992248062001E-2</v>
      </c>
      <c r="I279">
        <v>2.7131782945736399E-2</v>
      </c>
      <c r="J279">
        <v>2.7906976744186001E-2</v>
      </c>
      <c r="K279">
        <v>1.2364E-2</v>
      </c>
      <c r="L279">
        <v>1.2364E-2</v>
      </c>
      <c r="M279">
        <v>1.2364E-2</v>
      </c>
      <c r="N279">
        <v>4263.1000000000004</v>
      </c>
      <c r="O279">
        <v>464</v>
      </c>
      <c r="Q279">
        <f t="shared" si="24"/>
        <v>0</v>
      </c>
      <c r="R279">
        <f t="shared" si="25"/>
        <v>-2.0251000000000001</v>
      </c>
      <c r="S279">
        <f t="shared" si="26"/>
        <v>2.7002583979328133E-2</v>
      </c>
      <c r="T279">
        <f t="shared" si="27"/>
        <v>1.2364E-2</v>
      </c>
    </row>
    <row r="280" spans="1:20" x14ac:dyDescent="0.3">
      <c r="A280">
        <v>190</v>
      </c>
      <c r="B280">
        <v>0</v>
      </c>
      <c r="C280">
        <v>-2.0535000000000001</v>
      </c>
      <c r="D280">
        <v>0</v>
      </c>
      <c r="E280">
        <v>-2.0535000000000001</v>
      </c>
      <c r="F280">
        <v>0</v>
      </c>
      <c r="G280">
        <v>-2.0535000000000001</v>
      </c>
      <c r="H280">
        <v>2.7519379844961198E-2</v>
      </c>
      <c r="I280">
        <v>2.44186046511627E-2</v>
      </c>
      <c r="J280">
        <v>2.6356589147286801E-2</v>
      </c>
      <c r="K280">
        <v>1.1589E-2</v>
      </c>
      <c r="L280">
        <v>1.1589E-2</v>
      </c>
      <c r="M280">
        <v>1.1589E-2</v>
      </c>
      <c r="N280">
        <v>4413.6000000000004</v>
      </c>
      <c r="O280">
        <v>405.47</v>
      </c>
      <c r="Q280">
        <f t="shared" si="24"/>
        <v>0</v>
      </c>
      <c r="R280">
        <f t="shared" si="25"/>
        <v>-2.0535000000000001</v>
      </c>
      <c r="S280">
        <f t="shared" si="26"/>
        <v>2.609819121447023E-2</v>
      </c>
      <c r="T280">
        <f t="shared" si="27"/>
        <v>1.1589E-2</v>
      </c>
    </row>
    <row r="281" spans="1:20" x14ac:dyDescent="0.3">
      <c r="A281">
        <v>195</v>
      </c>
      <c r="B281">
        <v>0</v>
      </c>
      <c r="C281">
        <v>-2.1145</v>
      </c>
      <c r="D281">
        <v>0</v>
      </c>
      <c r="E281">
        <v>-2.1145</v>
      </c>
      <c r="F281">
        <v>0</v>
      </c>
      <c r="G281">
        <v>-2.1145</v>
      </c>
      <c r="H281">
        <v>2.24806201550387E-2</v>
      </c>
      <c r="I281">
        <v>2.4031007751937901E-2</v>
      </c>
      <c r="J281">
        <v>2.24806201550387E-2</v>
      </c>
      <c r="K281">
        <v>8.8760000000000002E-3</v>
      </c>
      <c r="L281">
        <v>8.8760000000000002E-3</v>
      </c>
      <c r="M281">
        <v>8.8760000000000002E-3</v>
      </c>
      <c r="N281">
        <v>5117.2</v>
      </c>
      <c r="O281">
        <v>483.84</v>
      </c>
      <c r="Q281">
        <f t="shared" si="24"/>
        <v>0</v>
      </c>
      <c r="R281">
        <f t="shared" si="25"/>
        <v>-2.1145</v>
      </c>
      <c r="S281">
        <f t="shared" si="26"/>
        <v>2.2997416020671766E-2</v>
      </c>
      <c r="T281">
        <f t="shared" si="27"/>
        <v>8.8760000000000002E-3</v>
      </c>
    </row>
    <row r="282" spans="1:20" x14ac:dyDescent="0.3">
      <c r="A282">
        <v>200</v>
      </c>
      <c r="B282">
        <v>0</v>
      </c>
      <c r="C282">
        <v>-2.0952000000000002</v>
      </c>
      <c r="D282">
        <v>0</v>
      </c>
      <c r="E282">
        <v>-2.0952000000000002</v>
      </c>
      <c r="F282">
        <v>0</v>
      </c>
      <c r="G282">
        <v>-2.0952000000000002</v>
      </c>
      <c r="H282">
        <v>2.3255813953488299E-2</v>
      </c>
      <c r="I282">
        <v>2.44186046511627E-2</v>
      </c>
      <c r="J282">
        <v>2.3643410852713102E-2</v>
      </c>
      <c r="K282">
        <v>1.1202E-2</v>
      </c>
      <c r="L282">
        <v>1.1202E-2</v>
      </c>
      <c r="M282">
        <v>1.1202E-2</v>
      </c>
      <c r="N282">
        <v>4741.3999999999996</v>
      </c>
      <c r="O282">
        <v>708.38</v>
      </c>
      <c r="Q282">
        <f t="shared" si="24"/>
        <v>0</v>
      </c>
      <c r="R282">
        <f t="shared" si="25"/>
        <v>-2.0952000000000002</v>
      </c>
      <c r="S282">
        <f t="shared" si="26"/>
        <v>2.3772609819121368E-2</v>
      </c>
      <c r="T282">
        <f t="shared" si="27"/>
        <v>1.1201999999999998E-2</v>
      </c>
    </row>
    <row r="283" spans="1:20" x14ac:dyDescent="0.3">
      <c r="A283">
        <v>205</v>
      </c>
      <c r="B283">
        <v>0</v>
      </c>
      <c r="C283">
        <v>-3.5903999999999998</v>
      </c>
      <c r="D283">
        <v>0</v>
      </c>
      <c r="E283">
        <v>-3.5903999999999998</v>
      </c>
      <c r="F283">
        <v>0</v>
      </c>
      <c r="G283">
        <v>-3.5903999999999998</v>
      </c>
      <c r="H283">
        <v>2.1705426356589098E-2</v>
      </c>
      <c r="I283">
        <v>1.9767441860465099E-2</v>
      </c>
      <c r="J283">
        <v>2.09302325581395E-2</v>
      </c>
      <c r="K283">
        <v>1.2364E-2</v>
      </c>
      <c r="L283">
        <v>1.2364E-2</v>
      </c>
      <c r="M283">
        <v>1.2364E-2</v>
      </c>
      <c r="N283">
        <v>4939.7</v>
      </c>
      <c r="O283">
        <v>621.48</v>
      </c>
      <c r="Q283">
        <f t="shared" si="24"/>
        <v>0</v>
      </c>
      <c r="R283">
        <f t="shared" si="25"/>
        <v>-3.5904000000000003</v>
      </c>
      <c r="S283">
        <f t="shared" si="26"/>
        <v>2.0801033591731233E-2</v>
      </c>
      <c r="T283">
        <f t="shared" si="27"/>
        <v>1.2364E-2</v>
      </c>
    </row>
    <row r="284" spans="1:20" x14ac:dyDescent="0.3">
      <c r="A284">
        <v>210</v>
      </c>
      <c r="B284">
        <v>0</v>
      </c>
      <c r="C284">
        <v>-3.8184999999999998</v>
      </c>
      <c r="D284">
        <v>0</v>
      </c>
      <c r="E284">
        <v>-3.8184999999999998</v>
      </c>
      <c r="F284">
        <v>0</v>
      </c>
      <c r="G284">
        <v>-3.8184999999999998</v>
      </c>
      <c r="H284">
        <v>2.1317829457364299E-2</v>
      </c>
      <c r="I284">
        <v>1.9767441860465099E-2</v>
      </c>
      <c r="J284">
        <v>2.4031007751937901E-2</v>
      </c>
      <c r="K284">
        <v>1.0426E-2</v>
      </c>
      <c r="L284">
        <v>1.0426E-2</v>
      </c>
      <c r="M284">
        <v>1.0426E-2</v>
      </c>
      <c r="N284">
        <v>5015.8</v>
      </c>
      <c r="O284">
        <v>521.52</v>
      </c>
      <c r="Q284">
        <f t="shared" si="24"/>
        <v>0</v>
      </c>
      <c r="R284">
        <f t="shared" si="25"/>
        <v>-3.8184999999999998</v>
      </c>
      <c r="S284">
        <f t="shared" si="26"/>
        <v>2.1705426356589102E-2</v>
      </c>
      <c r="T284">
        <f t="shared" si="27"/>
        <v>1.0426E-2</v>
      </c>
    </row>
    <row r="285" spans="1:20" x14ac:dyDescent="0.3">
      <c r="A285">
        <v>215</v>
      </c>
      <c r="B285">
        <v>0</v>
      </c>
      <c r="C285">
        <v>-3.8494000000000002</v>
      </c>
      <c r="D285">
        <v>0</v>
      </c>
      <c r="E285">
        <v>-3.8494000000000002</v>
      </c>
      <c r="F285">
        <v>0</v>
      </c>
      <c r="G285">
        <v>-3.8494000000000002</v>
      </c>
      <c r="H285">
        <v>1.9767441860465099E-2</v>
      </c>
      <c r="I285">
        <v>1.86046511627906E-2</v>
      </c>
      <c r="J285">
        <v>2.1705426356589098E-2</v>
      </c>
      <c r="K285">
        <v>1.0038999999999999E-2</v>
      </c>
      <c r="L285">
        <v>1.0038999999999999E-2</v>
      </c>
      <c r="M285">
        <v>1.0038999999999999E-2</v>
      </c>
      <c r="N285">
        <v>4476.2</v>
      </c>
      <c r="O285">
        <v>456.83</v>
      </c>
      <c r="Q285">
        <f t="shared" si="24"/>
        <v>0</v>
      </c>
      <c r="R285">
        <f t="shared" si="25"/>
        <v>-3.8494000000000006</v>
      </c>
      <c r="S285">
        <f t="shared" si="26"/>
        <v>2.00258397932816E-2</v>
      </c>
      <c r="T285">
        <f t="shared" si="27"/>
        <v>1.0038999999999999E-2</v>
      </c>
    </row>
    <row r="286" spans="1:20" x14ac:dyDescent="0.3">
      <c r="A286">
        <v>220</v>
      </c>
      <c r="B286">
        <v>0</v>
      </c>
      <c r="C286">
        <v>-3.9382999999999999</v>
      </c>
      <c r="D286">
        <v>0</v>
      </c>
      <c r="E286">
        <v>-3.9382999999999999</v>
      </c>
      <c r="F286">
        <v>0</v>
      </c>
      <c r="G286">
        <v>-3.9382999999999999</v>
      </c>
      <c r="H286">
        <v>1.7441860465116199E-2</v>
      </c>
      <c r="I286">
        <v>1.6666666666666601E-2</v>
      </c>
      <c r="J286">
        <v>1.5891472868216999E-2</v>
      </c>
      <c r="K286">
        <v>1.0038999999999999E-2</v>
      </c>
      <c r="L286">
        <v>1.0038999999999999E-2</v>
      </c>
      <c r="M286">
        <v>1.0038999999999999E-2</v>
      </c>
      <c r="N286">
        <v>5694.4</v>
      </c>
      <c r="O286">
        <v>629.09</v>
      </c>
      <c r="Q286">
        <f t="shared" si="24"/>
        <v>0</v>
      </c>
      <c r="R286">
        <f t="shared" si="25"/>
        <v>-3.9382999999999999</v>
      </c>
      <c r="S286">
        <f t="shared" si="26"/>
        <v>1.6666666666666597E-2</v>
      </c>
      <c r="T286">
        <f t="shared" si="27"/>
        <v>1.0038999999999999E-2</v>
      </c>
    </row>
    <row r="287" spans="1:20" x14ac:dyDescent="0.3">
      <c r="A287">
        <v>225</v>
      </c>
      <c r="B287">
        <v>0</v>
      </c>
      <c r="C287">
        <v>-3.9815</v>
      </c>
      <c r="D287">
        <v>0</v>
      </c>
      <c r="E287">
        <v>-3.9815</v>
      </c>
      <c r="F287">
        <v>0</v>
      </c>
      <c r="G287">
        <v>-3.9815</v>
      </c>
      <c r="H287">
        <v>1.70542635658914E-2</v>
      </c>
      <c r="I287">
        <v>1.9379844961240299E-2</v>
      </c>
      <c r="J287">
        <v>1.8217054263565801E-2</v>
      </c>
      <c r="K287">
        <v>1.0038999999999999E-2</v>
      </c>
      <c r="L287">
        <v>1.0038999999999999E-2</v>
      </c>
      <c r="M287">
        <v>1.0038999999999999E-2</v>
      </c>
      <c r="N287">
        <v>6336.9</v>
      </c>
      <c r="O287">
        <v>680.3</v>
      </c>
      <c r="Q287">
        <f t="shared" si="24"/>
        <v>0</v>
      </c>
      <c r="R287">
        <f t="shared" si="25"/>
        <v>-3.9815</v>
      </c>
      <c r="S287">
        <f t="shared" si="26"/>
        <v>1.8217054263565832E-2</v>
      </c>
      <c r="T287">
        <f t="shared" si="27"/>
        <v>1.0038999999999999E-2</v>
      </c>
    </row>
    <row r="288" spans="1:20" x14ac:dyDescent="0.3">
      <c r="A288">
        <v>230</v>
      </c>
      <c r="B288">
        <v>0</v>
      </c>
      <c r="C288">
        <v>-4.0509000000000004</v>
      </c>
      <c r="D288">
        <v>0</v>
      </c>
      <c r="E288">
        <v>-4.0509000000000004</v>
      </c>
      <c r="F288">
        <v>0</v>
      </c>
      <c r="G288">
        <v>-4.0509000000000004</v>
      </c>
      <c r="H288">
        <v>1.5503875968992199E-2</v>
      </c>
      <c r="I288">
        <v>1.5891472868216999E-2</v>
      </c>
      <c r="J288">
        <v>1.5503875968992199E-2</v>
      </c>
      <c r="K288">
        <v>1.0038999999999999E-2</v>
      </c>
      <c r="L288">
        <v>1.0038999999999999E-2</v>
      </c>
      <c r="M288">
        <v>1.0038999999999999E-2</v>
      </c>
      <c r="N288">
        <v>6448.6</v>
      </c>
      <c r="O288">
        <v>773.73</v>
      </c>
      <c r="Q288">
        <f t="shared" si="24"/>
        <v>0</v>
      </c>
      <c r="R288">
        <f t="shared" si="25"/>
        <v>-4.0509000000000004</v>
      </c>
      <c r="S288">
        <f t="shared" si="26"/>
        <v>1.5633074935400466E-2</v>
      </c>
      <c r="T288">
        <f t="shared" si="27"/>
        <v>1.0038999999999999E-2</v>
      </c>
    </row>
    <row r="289" spans="1:20" x14ac:dyDescent="0.3">
      <c r="A289">
        <v>235</v>
      </c>
      <c r="B289">
        <v>0</v>
      </c>
      <c r="C289">
        <v>-4.0559000000000003</v>
      </c>
      <c r="D289">
        <v>0</v>
      </c>
      <c r="E289">
        <v>-4.0559000000000003</v>
      </c>
      <c r="F289">
        <v>0</v>
      </c>
      <c r="G289">
        <v>-4.0559000000000003</v>
      </c>
      <c r="H289">
        <v>1.51162790697674E-2</v>
      </c>
      <c r="I289">
        <v>1.6279069767441801E-2</v>
      </c>
      <c r="J289">
        <v>1.6666666666666601E-2</v>
      </c>
      <c r="K289">
        <v>8.8760000000000002E-3</v>
      </c>
      <c r="L289">
        <v>8.8760000000000002E-3</v>
      </c>
      <c r="M289">
        <v>8.8760000000000002E-3</v>
      </c>
      <c r="N289">
        <v>6602.8</v>
      </c>
      <c r="O289">
        <v>506.72</v>
      </c>
      <c r="Q289">
        <f t="shared" si="24"/>
        <v>0</v>
      </c>
      <c r="R289">
        <f t="shared" si="25"/>
        <v>-4.0559000000000003</v>
      </c>
      <c r="S289">
        <f t="shared" si="26"/>
        <v>1.6020671834625268E-2</v>
      </c>
      <c r="T289">
        <f t="shared" si="27"/>
        <v>8.8760000000000002E-3</v>
      </c>
    </row>
    <row r="290" spans="1:20" x14ac:dyDescent="0.3">
      <c r="A290">
        <v>240</v>
      </c>
      <c r="B290">
        <v>0</v>
      </c>
      <c r="C290">
        <v>-4.2633000000000001</v>
      </c>
      <c r="D290">
        <v>0</v>
      </c>
      <c r="E290">
        <v>-4.2633000000000001</v>
      </c>
      <c r="F290">
        <v>0</v>
      </c>
      <c r="G290">
        <v>-4.2633000000000001</v>
      </c>
      <c r="H290">
        <v>1.6279069767441801E-2</v>
      </c>
      <c r="I290">
        <v>1.31782945736434E-2</v>
      </c>
      <c r="J290">
        <v>1.3953488372093001E-2</v>
      </c>
      <c r="K290">
        <v>7.7130000000000002E-3</v>
      </c>
      <c r="L290">
        <v>7.7130000000000002E-3</v>
      </c>
      <c r="M290">
        <v>7.7130000000000002E-3</v>
      </c>
      <c r="N290">
        <v>6503.4</v>
      </c>
      <c r="O290">
        <v>474.5</v>
      </c>
      <c r="Q290">
        <f t="shared" si="24"/>
        <v>0</v>
      </c>
      <c r="R290">
        <f t="shared" si="25"/>
        <v>-4.2633000000000001</v>
      </c>
      <c r="S290">
        <f t="shared" si="26"/>
        <v>1.4470284237726068E-2</v>
      </c>
      <c r="T290">
        <f t="shared" si="27"/>
        <v>7.7130000000000002E-3</v>
      </c>
    </row>
    <row r="291" spans="1:20" x14ac:dyDescent="0.3">
      <c r="A291">
        <v>245</v>
      </c>
      <c r="B291">
        <v>0</v>
      </c>
      <c r="C291">
        <v>-4.2996999999999996</v>
      </c>
      <c r="D291">
        <v>0</v>
      </c>
      <c r="E291">
        <v>-4.2996999999999996</v>
      </c>
      <c r="F291">
        <v>0</v>
      </c>
      <c r="G291">
        <v>-4.2996999999999996</v>
      </c>
      <c r="H291">
        <v>1.43410852713178E-2</v>
      </c>
      <c r="I291">
        <v>1.31782945736434E-2</v>
      </c>
      <c r="J291">
        <v>1.35658914728682E-2</v>
      </c>
      <c r="K291">
        <v>8.4880000000000008E-3</v>
      </c>
      <c r="L291">
        <v>8.4880000000000008E-3</v>
      </c>
      <c r="M291">
        <v>8.4880000000000008E-3</v>
      </c>
      <c r="N291">
        <v>3512.3</v>
      </c>
      <c r="O291">
        <v>468.41</v>
      </c>
      <c r="Q291">
        <f t="shared" si="24"/>
        <v>0</v>
      </c>
      <c r="R291">
        <f t="shared" si="25"/>
        <v>-4.2996999999999996</v>
      </c>
      <c r="S291">
        <f t="shared" si="26"/>
        <v>1.3695090439276468E-2</v>
      </c>
      <c r="T291">
        <f t="shared" si="27"/>
        <v>8.4880000000000008E-3</v>
      </c>
    </row>
    <row r="292" spans="1:20" x14ac:dyDescent="0.3">
      <c r="A292">
        <v>250</v>
      </c>
      <c r="B292">
        <v>0</v>
      </c>
      <c r="C292">
        <v>-4.4036999999999997</v>
      </c>
      <c r="D292">
        <v>0</v>
      </c>
      <c r="E292">
        <v>-4.4036999999999997</v>
      </c>
      <c r="F292">
        <v>0</v>
      </c>
      <c r="G292">
        <v>-4.4036999999999997</v>
      </c>
      <c r="H292">
        <v>1.4728682170542601E-2</v>
      </c>
      <c r="I292">
        <v>1.12403100775193E-2</v>
      </c>
      <c r="J292">
        <v>1.0852713178294501E-2</v>
      </c>
      <c r="K292">
        <v>7.326E-3</v>
      </c>
      <c r="L292">
        <v>7.326E-3</v>
      </c>
      <c r="M292">
        <v>7.326E-3</v>
      </c>
      <c r="N292">
        <v>6777.6</v>
      </c>
      <c r="O292">
        <v>845.3</v>
      </c>
      <c r="Q292">
        <f t="shared" si="24"/>
        <v>0</v>
      </c>
      <c r="R292">
        <f t="shared" si="25"/>
        <v>-4.4036999999999997</v>
      </c>
      <c r="S292">
        <f t="shared" si="26"/>
        <v>1.2273901808785468E-2</v>
      </c>
      <c r="T292">
        <f t="shared" si="27"/>
        <v>7.326E-3</v>
      </c>
    </row>
    <row r="293" spans="1:20" x14ac:dyDescent="0.3">
      <c r="A293">
        <v>255</v>
      </c>
      <c r="B293">
        <v>0</v>
      </c>
      <c r="C293">
        <v>-4.5042</v>
      </c>
      <c r="D293">
        <v>0</v>
      </c>
      <c r="E293">
        <v>-4.5042</v>
      </c>
      <c r="F293">
        <v>0</v>
      </c>
      <c r="G293">
        <v>-4.5042</v>
      </c>
      <c r="H293">
        <v>1.00775193798449E-2</v>
      </c>
      <c r="I293">
        <v>9.6899224806201497E-3</v>
      </c>
      <c r="J293">
        <v>1.20155038759689E-2</v>
      </c>
      <c r="K293">
        <v>8.4880000000000008E-3</v>
      </c>
      <c r="L293">
        <v>8.4880000000000008E-3</v>
      </c>
      <c r="M293">
        <v>8.4880000000000008E-3</v>
      </c>
      <c r="N293">
        <v>6811.7</v>
      </c>
      <c r="O293">
        <v>903.91</v>
      </c>
      <c r="Q293">
        <f t="shared" si="24"/>
        <v>0</v>
      </c>
      <c r="R293">
        <f t="shared" si="25"/>
        <v>-4.5042</v>
      </c>
      <c r="S293">
        <f t="shared" si="26"/>
        <v>1.0594315245477983E-2</v>
      </c>
      <c r="T293">
        <f t="shared" si="27"/>
        <v>8.4880000000000008E-3</v>
      </c>
    </row>
    <row r="294" spans="1:20" x14ac:dyDescent="0.3">
      <c r="A294">
        <v>260</v>
      </c>
      <c r="B294">
        <v>0</v>
      </c>
      <c r="C294">
        <v>-8.0128000000000004</v>
      </c>
      <c r="D294">
        <v>0</v>
      </c>
      <c r="E294">
        <v>-8.0128000000000004</v>
      </c>
      <c r="F294">
        <v>0</v>
      </c>
      <c r="G294">
        <v>-8.0128000000000004</v>
      </c>
      <c r="H294">
        <v>1.20155038759689E-2</v>
      </c>
      <c r="I294">
        <v>1.31782945736434E-2</v>
      </c>
      <c r="J294">
        <v>1.04651162790697E-2</v>
      </c>
      <c r="K294">
        <v>8.1010000000000006E-3</v>
      </c>
      <c r="L294">
        <v>8.1010000000000006E-3</v>
      </c>
      <c r="M294">
        <v>8.1010000000000006E-3</v>
      </c>
      <c r="N294">
        <v>6095.6</v>
      </c>
      <c r="O294">
        <v>846.06</v>
      </c>
      <c r="Q294">
        <f t="shared" si="24"/>
        <v>0</v>
      </c>
      <c r="R294">
        <f t="shared" si="25"/>
        <v>-8.0128000000000004</v>
      </c>
      <c r="S294">
        <f t="shared" si="26"/>
        <v>1.1886304909560668E-2</v>
      </c>
      <c r="T294">
        <f t="shared" si="27"/>
        <v>8.1010000000000006E-3</v>
      </c>
    </row>
    <row r="295" spans="1:20" x14ac:dyDescent="0.3">
      <c r="A295">
        <v>265</v>
      </c>
      <c r="B295">
        <v>0</v>
      </c>
      <c r="C295">
        <v>-8.3264999999999993</v>
      </c>
      <c r="D295">
        <v>0</v>
      </c>
      <c r="E295">
        <v>-8.3264999999999993</v>
      </c>
      <c r="F295">
        <v>0</v>
      </c>
      <c r="G295">
        <v>-8.3264999999999993</v>
      </c>
      <c r="H295">
        <v>1.12403100775193E-2</v>
      </c>
      <c r="I295">
        <v>1.00775193798449E-2</v>
      </c>
      <c r="J295">
        <v>1.1627906976744099E-2</v>
      </c>
      <c r="K295">
        <v>7.7130000000000002E-3</v>
      </c>
      <c r="L295">
        <v>7.7130000000000002E-3</v>
      </c>
      <c r="M295">
        <v>7.7130000000000002E-3</v>
      </c>
      <c r="N295">
        <v>5900.7</v>
      </c>
      <c r="O295">
        <v>726.62</v>
      </c>
      <c r="Q295">
        <f t="shared" si="24"/>
        <v>0</v>
      </c>
      <c r="R295">
        <f t="shared" si="25"/>
        <v>-8.3264999999999993</v>
      </c>
      <c r="S295">
        <f t="shared" si="26"/>
        <v>1.0981912144702765E-2</v>
      </c>
      <c r="T295">
        <f t="shared" si="27"/>
        <v>7.7130000000000002E-3</v>
      </c>
    </row>
    <row r="296" spans="1:20" x14ac:dyDescent="0.3">
      <c r="A296">
        <v>270</v>
      </c>
      <c r="B296">
        <v>0</v>
      </c>
      <c r="C296">
        <v>-8.6140000000000008</v>
      </c>
      <c r="D296">
        <v>0</v>
      </c>
      <c r="E296">
        <v>-8.6140000000000008</v>
      </c>
      <c r="F296">
        <v>0</v>
      </c>
      <c r="G296">
        <v>-8.6140000000000008</v>
      </c>
      <c r="H296">
        <v>1.04651162790697E-2</v>
      </c>
      <c r="I296">
        <v>1.00775193798449E-2</v>
      </c>
      <c r="J296">
        <v>1.04651162790697E-2</v>
      </c>
      <c r="K296">
        <v>8.8760000000000002E-3</v>
      </c>
      <c r="L296">
        <v>8.8760000000000002E-3</v>
      </c>
      <c r="M296">
        <v>8.8760000000000002E-3</v>
      </c>
      <c r="N296">
        <v>2019.2</v>
      </c>
      <c r="O296">
        <v>649.38</v>
      </c>
      <c r="Q296">
        <f t="shared" si="24"/>
        <v>0</v>
      </c>
      <c r="R296">
        <f t="shared" si="25"/>
        <v>-8.6140000000000008</v>
      </c>
      <c r="S296">
        <f t="shared" si="26"/>
        <v>1.0335917312661433E-2</v>
      </c>
      <c r="T296">
        <f t="shared" si="27"/>
        <v>8.8760000000000002E-3</v>
      </c>
    </row>
    <row r="297" spans="1:20" x14ac:dyDescent="0.3">
      <c r="A297">
        <v>275</v>
      </c>
      <c r="B297">
        <v>0</v>
      </c>
      <c r="C297">
        <v>-8.7998999999999992</v>
      </c>
      <c r="D297">
        <v>0</v>
      </c>
      <c r="E297">
        <v>-8.7998999999999992</v>
      </c>
      <c r="F297">
        <v>0</v>
      </c>
      <c r="G297">
        <v>-8.7998999999999992</v>
      </c>
      <c r="H297">
        <v>1.12403100775193E-2</v>
      </c>
      <c r="I297">
        <v>9.6899224806201497E-3</v>
      </c>
      <c r="J297">
        <v>9.6899224806201497E-3</v>
      </c>
      <c r="K297">
        <v>7.326E-3</v>
      </c>
      <c r="L297">
        <v>7.326E-3</v>
      </c>
      <c r="M297">
        <v>7.326E-3</v>
      </c>
      <c r="N297">
        <v>7819.6</v>
      </c>
      <c r="O297">
        <v>859.67</v>
      </c>
      <c r="Q297">
        <f t="shared" si="24"/>
        <v>0</v>
      </c>
      <c r="R297">
        <f t="shared" si="25"/>
        <v>-8.7998999999999992</v>
      </c>
      <c r="S297">
        <f t="shared" si="26"/>
        <v>1.0206718346253201E-2</v>
      </c>
      <c r="T297">
        <f t="shared" si="27"/>
        <v>7.326E-3</v>
      </c>
    </row>
    <row r="298" spans="1:20" x14ac:dyDescent="0.3">
      <c r="A298">
        <v>280</v>
      </c>
      <c r="B298">
        <v>0</v>
      </c>
      <c r="C298">
        <v>-9.0114999999999998</v>
      </c>
      <c r="D298">
        <v>0</v>
      </c>
      <c r="E298">
        <v>-9.0114999999999998</v>
      </c>
      <c r="F298">
        <v>0</v>
      </c>
      <c r="G298">
        <v>-9.0114999999999998</v>
      </c>
      <c r="H298">
        <v>7.7519379844961196E-3</v>
      </c>
      <c r="I298">
        <v>9.30232558139534E-3</v>
      </c>
      <c r="J298">
        <v>8.1395348837209301E-3</v>
      </c>
      <c r="K298">
        <v>7.326E-3</v>
      </c>
      <c r="L298">
        <v>7.326E-3</v>
      </c>
      <c r="M298">
        <v>7.326E-3</v>
      </c>
      <c r="N298">
        <v>8241.7000000000007</v>
      </c>
      <c r="O298">
        <v>946.66</v>
      </c>
      <c r="Q298">
        <f t="shared" si="24"/>
        <v>0</v>
      </c>
      <c r="R298">
        <f t="shared" si="25"/>
        <v>-9.0114999999999998</v>
      </c>
      <c r="S298">
        <f t="shared" si="26"/>
        <v>8.397932816537463E-3</v>
      </c>
      <c r="T298">
        <f t="shared" si="27"/>
        <v>7.326E-3</v>
      </c>
    </row>
    <row r="299" spans="1:20" x14ac:dyDescent="0.3">
      <c r="A299">
        <v>285</v>
      </c>
      <c r="B299">
        <v>0</v>
      </c>
      <c r="C299">
        <v>-9.2386999999999997</v>
      </c>
      <c r="D299">
        <v>0</v>
      </c>
      <c r="E299">
        <v>-9.2386999999999997</v>
      </c>
      <c r="F299">
        <v>0</v>
      </c>
      <c r="G299">
        <v>-9.2386999999999997</v>
      </c>
      <c r="H299">
        <v>7.7519379844961196E-3</v>
      </c>
      <c r="I299">
        <v>8.9147286821705408E-3</v>
      </c>
      <c r="J299">
        <v>6.9767441860465098E-3</v>
      </c>
      <c r="K299">
        <v>7.326E-3</v>
      </c>
      <c r="L299">
        <v>7.326E-3</v>
      </c>
      <c r="M299">
        <v>7.326E-3</v>
      </c>
      <c r="N299">
        <v>7982.4</v>
      </c>
      <c r="O299">
        <v>938.23</v>
      </c>
      <c r="Q299">
        <f t="shared" si="24"/>
        <v>0</v>
      </c>
      <c r="R299">
        <f t="shared" si="25"/>
        <v>-9.2386999999999997</v>
      </c>
      <c r="S299">
        <f t="shared" si="26"/>
        <v>7.8811369509043886E-3</v>
      </c>
      <c r="T299">
        <f t="shared" si="27"/>
        <v>7.326E-3</v>
      </c>
    </row>
    <row r="300" spans="1:20" x14ac:dyDescent="0.3">
      <c r="A300">
        <v>290</v>
      </c>
      <c r="B300">
        <v>0</v>
      </c>
      <c r="C300">
        <v>-9.0657999999999994</v>
      </c>
      <c r="D300">
        <v>0</v>
      </c>
      <c r="E300">
        <v>-9.0657999999999994</v>
      </c>
      <c r="F300">
        <v>0</v>
      </c>
      <c r="G300">
        <v>-9.0657999999999994</v>
      </c>
      <c r="H300">
        <v>7.3643410852713099E-3</v>
      </c>
      <c r="I300">
        <v>6.5891472868217001E-3</v>
      </c>
      <c r="J300">
        <v>9.30232558139534E-3</v>
      </c>
      <c r="K300">
        <v>8.1010000000000006E-3</v>
      </c>
      <c r="L300">
        <v>8.1010000000000006E-3</v>
      </c>
      <c r="M300">
        <v>8.1010000000000006E-3</v>
      </c>
      <c r="N300">
        <v>7499.1</v>
      </c>
      <c r="O300">
        <v>772.92</v>
      </c>
      <c r="Q300">
        <f t="shared" si="24"/>
        <v>0</v>
      </c>
      <c r="R300">
        <f t="shared" si="25"/>
        <v>-9.0657999999999994</v>
      </c>
      <c r="S300">
        <f t="shared" si="26"/>
        <v>7.751937984496117E-3</v>
      </c>
      <c r="T300">
        <f t="shared" si="27"/>
        <v>8.1010000000000006E-3</v>
      </c>
    </row>
    <row r="301" spans="1:20" x14ac:dyDescent="0.3">
      <c r="A301">
        <v>295</v>
      </c>
      <c r="B301">
        <v>0</v>
      </c>
      <c r="C301">
        <v>-9.1745999999999999</v>
      </c>
      <c r="D301">
        <v>0</v>
      </c>
      <c r="E301">
        <v>-9.1745999999999999</v>
      </c>
      <c r="F301">
        <v>0</v>
      </c>
      <c r="G301">
        <v>-9.1745999999999999</v>
      </c>
      <c r="H301">
        <v>6.9767441860465098E-3</v>
      </c>
      <c r="I301">
        <v>8.5271317829457294E-3</v>
      </c>
      <c r="J301">
        <v>7.3643410852713099E-3</v>
      </c>
      <c r="K301">
        <v>6.9379999999999997E-3</v>
      </c>
      <c r="L301">
        <v>6.9379999999999997E-3</v>
      </c>
      <c r="M301">
        <v>6.9379999999999997E-3</v>
      </c>
      <c r="N301">
        <v>6478.1</v>
      </c>
      <c r="O301">
        <v>668.87</v>
      </c>
      <c r="Q301">
        <f t="shared" si="24"/>
        <v>0</v>
      </c>
      <c r="R301">
        <f t="shared" si="25"/>
        <v>-9.1745999999999999</v>
      </c>
      <c r="S301">
        <f t="shared" si="26"/>
        <v>7.6227390180878497E-3</v>
      </c>
      <c r="T301">
        <f t="shared" si="27"/>
        <v>6.9379999999999997E-3</v>
      </c>
    </row>
    <row r="302" spans="1:20" x14ac:dyDescent="0.3">
      <c r="A302">
        <v>300</v>
      </c>
      <c r="B302">
        <v>0</v>
      </c>
      <c r="C302">
        <v>-9.4385999999999992</v>
      </c>
      <c r="D302">
        <v>0</v>
      </c>
      <c r="E302">
        <v>-9.4385999999999992</v>
      </c>
      <c r="F302">
        <v>0</v>
      </c>
      <c r="G302">
        <v>-9.4385999999999992</v>
      </c>
      <c r="H302">
        <v>6.9767441860465098E-3</v>
      </c>
      <c r="I302">
        <v>7.3643410852713099E-3</v>
      </c>
      <c r="J302">
        <v>6.9767441860465098E-3</v>
      </c>
      <c r="K302">
        <v>7.326E-3</v>
      </c>
      <c r="L302">
        <v>7.326E-3</v>
      </c>
      <c r="M302">
        <v>7.326E-3</v>
      </c>
      <c r="N302">
        <v>1516.8</v>
      </c>
      <c r="O302">
        <v>588.55999999999995</v>
      </c>
      <c r="Q302">
        <f t="shared" si="24"/>
        <v>0</v>
      </c>
      <c r="R302">
        <f t="shared" si="25"/>
        <v>-9.4385999999999992</v>
      </c>
      <c r="S302">
        <f t="shared" si="26"/>
        <v>7.1059431524547771E-3</v>
      </c>
      <c r="T302">
        <f t="shared" si="27"/>
        <v>7.326E-3</v>
      </c>
    </row>
    <row r="303" spans="1:20" x14ac:dyDescent="0.3">
      <c r="A303">
        <v>305</v>
      </c>
      <c r="B303">
        <v>0</v>
      </c>
      <c r="C303">
        <v>-9.5907</v>
      </c>
      <c r="D303">
        <v>0</v>
      </c>
      <c r="E303">
        <v>-9.5907</v>
      </c>
      <c r="F303">
        <v>0</v>
      </c>
      <c r="G303">
        <v>-9.5907</v>
      </c>
      <c r="H303">
        <v>5.4263565891472798E-3</v>
      </c>
      <c r="I303">
        <v>4.2635658914728604E-3</v>
      </c>
      <c r="J303">
        <v>6.5891472868217001E-3</v>
      </c>
      <c r="K303">
        <v>6.5500000000000003E-3</v>
      </c>
      <c r="L303">
        <v>6.5500000000000003E-3</v>
      </c>
      <c r="M303">
        <v>6.5500000000000003E-3</v>
      </c>
      <c r="N303">
        <v>9218.5</v>
      </c>
      <c r="O303">
        <v>736.16</v>
      </c>
      <c r="Q303">
        <f t="shared" si="24"/>
        <v>0</v>
      </c>
      <c r="R303">
        <f t="shared" si="25"/>
        <v>-9.5907</v>
      </c>
      <c r="S303">
        <f t="shared" si="26"/>
        <v>5.4263565891472798E-3</v>
      </c>
      <c r="T303">
        <f t="shared" si="27"/>
        <v>6.5500000000000003E-3</v>
      </c>
    </row>
    <row r="304" spans="1:20" x14ac:dyDescent="0.3">
      <c r="A304">
        <v>310</v>
      </c>
      <c r="B304">
        <v>0</v>
      </c>
      <c r="C304">
        <v>-9.7187999999999999</v>
      </c>
      <c r="D304">
        <v>0</v>
      </c>
      <c r="E304">
        <v>-9.7187999999999999</v>
      </c>
      <c r="F304">
        <v>0</v>
      </c>
      <c r="G304">
        <v>-9.7187999999999999</v>
      </c>
      <c r="H304">
        <v>6.2015503875968896E-3</v>
      </c>
      <c r="I304">
        <v>7.7519379844961196E-3</v>
      </c>
      <c r="J304">
        <v>5.8139534883720903E-3</v>
      </c>
      <c r="K304">
        <v>6.5500000000000003E-3</v>
      </c>
      <c r="L304">
        <v>6.5500000000000003E-3</v>
      </c>
      <c r="M304">
        <v>6.5500000000000003E-3</v>
      </c>
      <c r="N304">
        <v>9042.5</v>
      </c>
      <c r="O304">
        <v>1160.81</v>
      </c>
      <c r="Q304">
        <f t="shared" si="24"/>
        <v>0</v>
      </c>
      <c r="R304">
        <f t="shared" si="25"/>
        <v>-9.7187999999999999</v>
      </c>
      <c r="S304">
        <f t="shared" si="26"/>
        <v>6.5891472868216993E-3</v>
      </c>
      <c r="T304">
        <f t="shared" si="27"/>
        <v>6.5500000000000003E-3</v>
      </c>
    </row>
    <row r="305" spans="1:20" x14ac:dyDescent="0.3">
      <c r="A305">
        <v>315</v>
      </c>
      <c r="B305">
        <v>0</v>
      </c>
      <c r="C305">
        <v>-10.2469</v>
      </c>
      <c r="D305">
        <v>0</v>
      </c>
      <c r="E305">
        <v>-10.2469</v>
      </c>
      <c r="F305">
        <v>0</v>
      </c>
      <c r="G305">
        <v>-10.2469</v>
      </c>
      <c r="H305">
        <v>5.8139534883720903E-3</v>
      </c>
      <c r="I305">
        <v>6.2015503875968896E-3</v>
      </c>
      <c r="J305">
        <v>6.2015503875968896E-3</v>
      </c>
      <c r="K305">
        <v>5.7749999999999998E-3</v>
      </c>
      <c r="L305">
        <v>5.7749999999999998E-3</v>
      </c>
      <c r="M305">
        <v>5.7749999999999998E-3</v>
      </c>
      <c r="N305">
        <v>8646.7999999999993</v>
      </c>
      <c r="O305">
        <v>1042.42</v>
      </c>
      <c r="Q305">
        <f t="shared" si="24"/>
        <v>0</v>
      </c>
      <c r="R305">
        <f t="shared" si="25"/>
        <v>-10.2469</v>
      </c>
      <c r="S305">
        <f t="shared" si="26"/>
        <v>6.0723514211886232E-3</v>
      </c>
      <c r="T305">
        <f t="shared" si="27"/>
        <v>5.7749999999999998E-3</v>
      </c>
    </row>
    <row r="306" spans="1:20" x14ac:dyDescent="0.3">
      <c r="A306">
        <v>320</v>
      </c>
      <c r="B306">
        <v>0</v>
      </c>
      <c r="C306">
        <v>-10.1668</v>
      </c>
      <c r="D306">
        <v>0</v>
      </c>
      <c r="E306">
        <v>-10.1668</v>
      </c>
      <c r="F306">
        <v>0</v>
      </c>
      <c r="G306">
        <v>-10.1668</v>
      </c>
      <c r="H306">
        <v>5.8139534883720903E-3</v>
      </c>
      <c r="I306">
        <v>5.0387596899224797E-3</v>
      </c>
      <c r="J306">
        <v>5.4263565891472798E-3</v>
      </c>
      <c r="K306">
        <v>6.1630000000000001E-3</v>
      </c>
      <c r="L306">
        <v>6.1630000000000001E-3</v>
      </c>
      <c r="M306">
        <v>6.1630000000000001E-3</v>
      </c>
      <c r="N306">
        <v>8077.6</v>
      </c>
      <c r="O306">
        <v>986.72</v>
      </c>
      <c r="Q306">
        <f t="shared" si="24"/>
        <v>0</v>
      </c>
      <c r="R306">
        <f t="shared" si="25"/>
        <v>-10.1668</v>
      </c>
      <c r="S306">
        <f t="shared" si="26"/>
        <v>5.4263565891472833E-3</v>
      </c>
      <c r="T306">
        <f t="shared" si="27"/>
        <v>6.1629999999999992E-3</v>
      </c>
    </row>
    <row r="307" spans="1:20" x14ac:dyDescent="0.3">
      <c r="A307">
        <v>325</v>
      </c>
      <c r="B307">
        <v>0</v>
      </c>
      <c r="C307">
        <v>-10.4251</v>
      </c>
      <c r="D307">
        <v>0</v>
      </c>
      <c r="E307">
        <v>-10.4251</v>
      </c>
      <c r="F307">
        <v>0</v>
      </c>
      <c r="G307">
        <v>-10.4251</v>
      </c>
      <c r="H307">
        <v>3.10077519379844E-3</v>
      </c>
      <c r="I307">
        <v>5.4263565891472798E-3</v>
      </c>
      <c r="J307">
        <v>5.0387596899224797E-3</v>
      </c>
      <c r="K307">
        <v>6.5500000000000003E-3</v>
      </c>
      <c r="L307">
        <v>6.5500000000000003E-3</v>
      </c>
      <c r="M307">
        <v>6.5500000000000003E-3</v>
      </c>
      <c r="N307">
        <v>7364.6</v>
      </c>
      <c r="O307">
        <v>892.8</v>
      </c>
      <c r="Q307">
        <f t="shared" si="24"/>
        <v>0</v>
      </c>
      <c r="R307">
        <f t="shared" si="25"/>
        <v>-10.4251</v>
      </c>
      <c r="S307">
        <f t="shared" si="26"/>
        <v>4.5219638242894001E-3</v>
      </c>
      <c r="T307">
        <f t="shared" si="27"/>
        <v>6.5500000000000003E-3</v>
      </c>
    </row>
    <row r="308" spans="1:20" x14ac:dyDescent="0.3">
      <c r="A308">
        <v>330</v>
      </c>
      <c r="B308">
        <v>0</v>
      </c>
      <c r="C308">
        <v>-10.831099999999999</v>
      </c>
      <c r="D308">
        <v>0</v>
      </c>
      <c r="E308">
        <v>-10.831099999999999</v>
      </c>
      <c r="F308">
        <v>0</v>
      </c>
      <c r="G308">
        <v>-10.831099999999999</v>
      </c>
      <c r="H308">
        <v>3.4883720930232501E-3</v>
      </c>
      <c r="I308">
        <v>4.65116279069767E-3</v>
      </c>
      <c r="J308">
        <v>4.2635658914728604E-3</v>
      </c>
      <c r="K308">
        <v>5.7749999999999998E-3</v>
      </c>
      <c r="L308">
        <v>5.7749999999999998E-3</v>
      </c>
      <c r="M308">
        <v>5.7749999999999998E-3</v>
      </c>
      <c r="N308">
        <v>1250.5</v>
      </c>
      <c r="O308">
        <v>771.5</v>
      </c>
      <c r="Q308">
        <f t="shared" ref="Q308:Q318" si="28">AVERAGE(B308,D308,F308)</f>
        <v>0</v>
      </c>
      <c r="R308">
        <f t="shared" ref="R308:R318" si="29">AVERAGE(C308,E308,G308)</f>
        <v>-10.831099999999999</v>
      </c>
      <c r="S308">
        <f t="shared" ref="S308:S318" si="30">AVERAGE(H308:J308)</f>
        <v>4.1343669250645939E-3</v>
      </c>
      <c r="T308">
        <f t="shared" ref="T308:T318" si="31">AVERAGE(K308:M308)</f>
        <v>5.7749999999999998E-3</v>
      </c>
    </row>
    <row r="309" spans="1:20" x14ac:dyDescent="0.3">
      <c r="A309">
        <v>335</v>
      </c>
      <c r="B309">
        <v>0</v>
      </c>
      <c r="C309">
        <v>-10.6638</v>
      </c>
      <c r="D309">
        <v>0</v>
      </c>
      <c r="E309">
        <v>-10.6638</v>
      </c>
      <c r="F309">
        <v>0</v>
      </c>
      <c r="G309">
        <v>-10.6638</v>
      </c>
      <c r="H309">
        <v>4.2635658914728604E-3</v>
      </c>
      <c r="I309">
        <v>4.2635658914728604E-3</v>
      </c>
      <c r="J309">
        <v>3.4883720930232501E-3</v>
      </c>
      <c r="K309">
        <v>5.7749999999999998E-3</v>
      </c>
      <c r="L309">
        <v>5.7749999999999998E-3</v>
      </c>
      <c r="M309">
        <v>5.7749999999999998E-3</v>
      </c>
      <c r="N309">
        <v>10672.7</v>
      </c>
      <c r="O309">
        <v>880.37</v>
      </c>
      <c r="Q309">
        <f t="shared" si="28"/>
        <v>0</v>
      </c>
      <c r="R309">
        <f t="shared" si="29"/>
        <v>-10.6638</v>
      </c>
      <c r="S309">
        <f t="shared" si="30"/>
        <v>4.005167958656324E-3</v>
      </c>
      <c r="T309">
        <f t="shared" si="31"/>
        <v>5.7749999999999998E-3</v>
      </c>
    </row>
    <row r="310" spans="1:20" x14ac:dyDescent="0.3">
      <c r="A310">
        <v>340</v>
      </c>
      <c r="B310">
        <v>0</v>
      </c>
      <c r="C310">
        <v>-10.770799999999999</v>
      </c>
      <c r="D310">
        <v>0</v>
      </c>
      <c r="E310">
        <v>-10.770799999999999</v>
      </c>
      <c r="F310">
        <v>0</v>
      </c>
      <c r="G310">
        <v>-10.770799999999999</v>
      </c>
      <c r="H310">
        <v>4.65116279069767E-3</v>
      </c>
      <c r="I310">
        <v>4.2635658914728604E-3</v>
      </c>
      <c r="J310">
        <v>3.8759689922480598E-3</v>
      </c>
      <c r="K310">
        <v>5.3880000000000004E-3</v>
      </c>
      <c r="L310">
        <v>5.3880000000000004E-3</v>
      </c>
      <c r="M310">
        <v>5.3880000000000004E-3</v>
      </c>
      <c r="N310">
        <v>10243.5</v>
      </c>
      <c r="O310">
        <v>1534.53</v>
      </c>
      <c r="Q310">
        <f t="shared" si="28"/>
        <v>0</v>
      </c>
      <c r="R310">
        <f t="shared" si="29"/>
        <v>-10.770799999999999</v>
      </c>
      <c r="S310">
        <f t="shared" si="30"/>
        <v>4.2635658914728638E-3</v>
      </c>
      <c r="T310">
        <f t="shared" si="31"/>
        <v>5.3880000000000004E-3</v>
      </c>
    </row>
    <row r="311" spans="1:20" x14ac:dyDescent="0.3">
      <c r="A311">
        <v>345</v>
      </c>
      <c r="B311">
        <v>0</v>
      </c>
      <c r="C311">
        <v>-10.9308</v>
      </c>
      <c r="D311">
        <v>0</v>
      </c>
      <c r="E311">
        <v>-10.9308</v>
      </c>
      <c r="F311">
        <v>0</v>
      </c>
      <c r="G311">
        <v>-10.9308</v>
      </c>
      <c r="H311">
        <v>3.8759689922480598E-3</v>
      </c>
      <c r="I311">
        <v>3.4883720930232501E-3</v>
      </c>
      <c r="J311">
        <v>4.2635658914728604E-3</v>
      </c>
      <c r="K311">
        <v>5.3880000000000004E-3</v>
      </c>
      <c r="L311">
        <v>5.3880000000000004E-3</v>
      </c>
      <c r="M311">
        <v>5.3880000000000004E-3</v>
      </c>
      <c r="N311">
        <v>8997.9</v>
      </c>
      <c r="O311">
        <v>1435.19</v>
      </c>
      <c r="Q311">
        <f t="shared" si="28"/>
        <v>0</v>
      </c>
      <c r="R311">
        <f t="shared" si="29"/>
        <v>-10.9308</v>
      </c>
      <c r="S311">
        <f t="shared" si="30"/>
        <v>3.8759689922480568E-3</v>
      </c>
      <c r="T311">
        <f t="shared" si="31"/>
        <v>5.3880000000000004E-3</v>
      </c>
    </row>
    <row r="312" spans="1:20" x14ac:dyDescent="0.3">
      <c r="A312">
        <v>350</v>
      </c>
      <c r="B312">
        <v>0</v>
      </c>
      <c r="C312">
        <v>-11.0671</v>
      </c>
      <c r="D312">
        <v>0</v>
      </c>
      <c r="E312">
        <v>-11.0671</v>
      </c>
      <c r="F312">
        <v>0</v>
      </c>
      <c r="G312">
        <v>-11.0671</v>
      </c>
      <c r="H312">
        <v>3.4883720930232501E-3</v>
      </c>
      <c r="I312">
        <v>2.3255813953488298E-3</v>
      </c>
      <c r="J312">
        <v>2.3255813953488298E-3</v>
      </c>
      <c r="K312">
        <v>5.7749999999999998E-3</v>
      </c>
      <c r="L312">
        <v>5.7749999999999998E-3</v>
      </c>
      <c r="M312">
        <v>5.7749999999999998E-3</v>
      </c>
      <c r="N312">
        <v>8255.1</v>
      </c>
      <c r="O312">
        <v>1265.94</v>
      </c>
      <c r="Q312">
        <f t="shared" si="28"/>
        <v>0</v>
      </c>
      <c r="R312">
        <f t="shared" si="29"/>
        <v>-11.067100000000002</v>
      </c>
      <c r="S312">
        <f t="shared" si="30"/>
        <v>2.7131782945736364E-3</v>
      </c>
      <c r="T312">
        <f t="shared" si="31"/>
        <v>5.7749999999999998E-3</v>
      </c>
    </row>
    <row r="313" spans="1:20" x14ac:dyDescent="0.3">
      <c r="A313">
        <v>355</v>
      </c>
      <c r="B313">
        <v>0</v>
      </c>
      <c r="C313">
        <v>-11.043699999999999</v>
      </c>
      <c r="D313">
        <v>0</v>
      </c>
      <c r="E313">
        <v>-11.043699999999999</v>
      </c>
      <c r="F313">
        <v>0</v>
      </c>
      <c r="G313">
        <v>-11.043699999999999</v>
      </c>
      <c r="H313">
        <v>3.4883720930232501E-3</v>
      </c>
      <c r="I313">
        <v>3.8759689922480598E-3</v>
      </c>
      <c r="J313">
        <v>3.10077519379844E-3</v>
      </c>
      <c r="K313">
        <v>5.3880000000000004E-3</v>
      </c>
      <c r="L313">
        <v>5.3880000000000004E-3</v>
      </c>
      <c r="M313">
        <v>5.3880000000000004E-3</v>
      </c>
      <c r="N313">
        <v>7400.3</v>
      </c>
      <c r="O313">
        <v>1115.19</v>
      </c>
      <c r="Q313">
        <f t="shared" si="28"/>
        <v>0</v>
      </c>
      <c r="R313">
        <f t="shared" si="29"/>
        <v>-11.043699999999999</v>
      </c>
      <c r="S313">
        <f t="shared" si="30"/>
        <v>3.4883720930232501E-3</v>
      </c>
      <c r="T313">
        <f t="shared" si="31"/>
        <v>5.3880000000000004E-3</v>
      </c>
    </row>
    <row r="314" spans="1:20" x14ac:dyDescent="0.3">
      <c r="A314">
        <v>360</v>
      </c>
      <c r="B314">
        <v>0</v>
      </c>
      <c r="C314">
        <v>-10.997400000000001</v>
      </c>
      <c r="D314">
        <v>0</v>
      </c>
      <c r="E314">
        <v>-10.997400000000001</v>
      </c>
      <c r="F314">
        <v>0</v>
      </c>
      <c r="G314">
        <v>-10.997400000000001</v>
      </c>
      <c r="H314">
        <v>3.8759689922480598E-3</v>
      </c>
      <c r="I314">
        <v>3.10077519379844E-3</v>
      </c>
      <c r="J314">
        <v>3.10077519379844E-3</v>
      </c>
      <c r="K314">
        <v>6.1630000000000001E-3</v>
      </c>
      <c r="L314">
        <v>6.1630000000000001E-3</v>
      </c>
      <c r="M314">
        <v>6.1630000000000001E-3</v>
      </c>
      <c r="N314">
        <v>1395.8</v>
      </c>
      <c r="O314">
        <v>1008.03</v>
      </c>
      <c r="Q314">
        <f t="shared" si="28"/>
        <v>0</v>
      </c>
      <c r="R314">
        <f t="shared" si="29"/>
        <v>-10.997400000000001</v>
      </c>
      <c r="S314">
        <f t="shared" si="30"/>
        <v>3.3591731266149802E-3</v>
      </c>
      <c r="T314">
        <f t="shared" si="31"/>
        <v>6.1629999999999992E-3</v>
      </c>
    </row>
    <row r="315" spans="1:20" x14ac:dyDescent="0.3">
      <c r="A315">
        <v>365</v>
      </c>
      <c r="B315">
        <v>0</v>
      </c>
      <c r="C315">
        <v>-11.2906</v>
      </c>
      <c r="D315">
        <v>0</v>
      </c>
      <c r="E315">
        <v>-11.2906</v>
      </c>
      <c r="F315">
        <v>0</v>
      </c>
      <c r="G315">
        <v>-11.2906</v>
      </c>
      <c r="H315">
        <v>2.7131782945736399E-3</v>
      </c>
      <c r="I315">
        <v>3.10077519379844E-3</v>
      </c>
      <c r="J315">
        <v>2.7131782945736399E-3</v>
      </c>
      <c r="K315">
        <v>5.0000000000000001E-3</v>
      </c>
      <c r="L315">
        <v>5.0000000000000001E-3</v>
      </c>
      <c r="M315">
        <v>5.0000000000000001E-3</v>
      </c>
      <c r="N315">
        <v>10972.2</v>
      </c>
      <c r="O315">
        <v>1470.06</v>
      </c>
      <c r="Q315">
        <f t="shared" si="28"/>
        <v>0</v>
      </c>
      <c r="R315">
        <f t="shared" si="29"/>
        <v>-11.2906</v>
      </c>
      <c r="S315">
        <f t="shared" si="30"/>
        <v>2.8423772609819063E-3</v>
      </c>
      <c r="T315">
        <f t="shared" si="31"/>
        <v>5.0000000000000001E-3</v>
      </c>
    </row>
    <row r="316" spans="1:20" x14ac:dyDescent="0.3">
      <c r="A316">
        <v>370</v>
      </c>
      <c r="B316">
        <v>0</v>
      </c>
      <c r="C316">
        <v>-11.3476</v>
      </c>
      <c r="D316">
        <v>0</v>
      </c>
      <c r="E316">
        <v>-11.3476</v>
      </c>
      <c r="F316">
        <v>0</v>
      </c>
      <c r="G316">
        <v>-11.3476</v>
      </c>
      <c r="H316">
        <v>1.9379844961240299E-3</v>
      </c>
      <c r="I316">
        <v>2.7131782945736399E-3</v>
      </c>
      <c r="J316">
        <v>1.9379844961240299E-3</v>
      </c>
      <c r="K316">
        <v>5.7749999999999998E-3</v>
      </c>
      <c r="L316">
        <v>5.7749999999999998E-3</v>
      </c>
      <c r="M316">
        <v>5.7749999999999998E-3</v>
      </c>
      <c r="N316">
        <v>9717.6</v>
      </c>
      <c r="O316">
        <v>1697.56</v>
      </c>
      <c r="Q316">
        <f t="shared" si="28"/>
        <v>0</v>
      </c>
      <c r="R316">
        <f t="shared" si="29"/>
        <v>-11.3476</v>
      </c>
      <c r="S316">
        <f t="shared" si="30"/>
        <v>2.1963824289405669E-3</v>
      </c>
      <c r="T316">
        <f t="shared" si="31"/>
        <v>5.7749999999999998E-3</v>
      </c>
    </row>
    <row r="317" spans="1:20" x14ac:dyDescent="0.3">
      <c r="A317">
        <v>375</v>
      </c>
      <c r="B317">
        <v>0</v>
      </c>
      <c r="C317">
        <v>-11.5609</v>
      </c>
      <c r="D317">
        <v>0</v>
      </c>
      <c r="E317">
        <v>-11.5609</v>
      </c>
      <c r="F317">
        <v>0</v>
      </c>
      <c r="G317">
        <v>-11.5609</v>
      </c>
      <c r="H317">
        <v>2.3255813953488298E-3</v>
      </c>
      <c r="I317">
        <v>2.3255813953488298E-3</v>
      </c>
      <c r="J317">
        <v>3.10077519379844E-3</v>
      </c>
      <c r="K317">
        <v>5.3880000000000004E-3</v>
      </c>
      <c r="L317">
        <v>5.3880000000000004E-3</v>
      </c>
      <c r="M317">
        <v>5.3880000000000004E-3</v>
      </c>
      <c r="N317">
        <v>2880.5</v>
      </c>
      <c r="O317">
        <v>1445</v>
      </c>
      <c r="Q317">
        <f t="shared" si="28"/>
        <v>0</v>
      </c>
      <c r="R317">
        <f t="shared" si="29"/>
        <v>-11.560899999999998</v>
      </c>
      <c r="S317">
        <f t="shared" si="30"/>
        <v>2.5839793281653665E-3</v>
      </c>
      <c r="T317">
        <f t="shared" si="31"/>
        <v>5.3880000000000004E-3</v>
      </c>
    </row>
    <row r="318" spans="1:20" x14ac:dyDescent="0.3">
      <c r="A318">
        <v>380</v>
      </c>
      <c r="B318">
        <v>0</v>
      </c>
      <c r="C318">
        <v>-11.9276</v>
      </c>
      <c r="D318">
        <v>0</v>
      </c>
      <c r="E318">
        <v>-11.9276</v>
      </c>
      <c r="F318">
        <v>0</v>
      </c>
      <c r="G318">
        <v>-11.9276</v>
      </c>
      <c r="H318">
        <v>3.10077519379844E-3</v>
      </c>
      <c r="I318">
        <v>1.55038759689922E-3</v>
      </c>
      <c r="J318">
        <v>2.7131782945736399E-3</v>
      </c>
      <c r="K318">
        <v>5.3880000000000004E-3</v>
      </c>
      <c r="L318">
        <v>5.3880000000000004E-3</v>
      </c>
      <c r="M318">
        <v>5.3880000000000004E-3</v>
      </c>
      <c r="N318">
        <v>3614.4</v>
      </c>
      <c r="O318">
        <v>1355.72</v>
      </c>
      <c r="Q318">
        <f t="shared" si="28"/>
        <v>0</v>
      </c>
      <c r="R318">
        <f t="shared" si="29"/>
        <v>-11.9276</v>
      </c>
      <c r="S318">
        <f t="shared" si="30"/>
        <v>2.4547803617571001E-3</v>
      </c>
      <c r="T318">
        <f t="shared" si="31"/>
        <v>5.3880000000000004E-3</v>
      </c>
    </row>
    <row r="321" spans="1:17" x14ac:dyDescent="0.3">
      <c r="A321" t="s">
        <v>85</v>
      </c>
      <c r="B321" t="s">
        <v>97</v>
      </c>
      <c r="C321" t="s">
        <v>98</v>
      </c>
      <c r="D321" t="s">
        <v>99</v>
      </c>
      <c r="E321" t="s">
        <v>100</v>
      </c>
      <c r="F321" t="s">
        <v>106</v>
      </c>
      <c r="G321" t="s">
        <v>107</v>
      </c>
      <c r="H321" t="s">
        <v>108</v>
      </c>
      <c r="I321" t="s">
        <v>109</v>
      </c>
      <c r="J321" t="s">
        <v>113</v>
      </c>
      <c r="K321" t="s">
        <v>114</v>
      </c>
      <c r="L321" t="s">
        <v>115</v>
      </c>
      <c r="M321" t="s">
        <v>116</v>
      </c>
      <c r="N321" t="s">
        <v>120</v>
      </c>
      <c r="O321" t="s">
        <v>121</v>
      </c>
      <c r="P321" t="s">
        <v>122</v>
      </c>
      <c r="Q321" t="s">
        <v>123</v>
      </c>
    </row>
    <row r="322" spans="1:17" x14ac:dyDescent="0.3">
      <c r="A322">
        <v>10</v>
      </c>
      <c r="B322">
        <v>2.6666666666666668E-2</v>
      </c>
      <c r="C322">
        <v>-0.13799999999999998</v>
      </c>
      <c r="D322">
        <v>0.158415841584158</v>
      </c>
      <c r="E322">
        <v>2.2601333333333334E-2</v>
      </c>
      <c r="F322">
        <v>1.4999999999999999E-2</v>
      </c>
      <c r="G322">
        <v>-0.22576666666666667</v>
      </c>
      <c r="H322">
        <v>0.13515754560530638</v>
      </c>
      <c r="I322">
        <v>3.1257333333333331E-2</v>
      </c>
      <c r="J322">
        <v>2.1000000000000001E-2</v>
      </c>
      <c r="K322">
        <v>-0.13849999999999998</v>
      </c>
      <c r="L322">
        <v>0.10114433370247296</v>
      </c>
      <c r="M322">
        <v>4.7451E-2</v>
      </c>
      <c r="N322">
        <v>4.9000000000000009E-2</v>
      </c>
      <c r="O322">
        <v>-3.3000000000000002E-2</v>
      </c>
      <c r="P322">
        <v>8.6046511627906927E-2</v>
      </c>
      <c r="Q322">
        <v>7.3992000000000002E-2</v>
      </c>
    </row>
    <row r="323" spans="1:17" x14ac:dyDescent="0.3">
      <c r="A323">
        <v>15</v>
      </c>
      <c r="B323">
        <v>2.3333333333333334E-2</v>
      </c>
      <c r="C323">
        <v>-0.12853333333333333</v>
      </c>
      <c r="D323">
        <v>0.24587458745874535</v>
      </c>
      <c r="E323">
        <v>2.3735000000000003E-2</v>
      </c>
      <c r="F323">
        <v>8.3333333333333332E-3</v>
      </c>
      <c r="G323">
        <v>-0.18993333333333337</v>
      </c>
      <c r="H323">
        <v>0.1793808734107237</v>
      </c>
      <c r="I323">
        <v>2.9599333333333328E-2</v>
      </c>
      <c r="J323">
        <v>6.6666666666666671E-3</v>
      </c>
      <c r="K323">
        <v>-0.19966666666666666</v>
      </c>
      <c r="L323">
        <v>9.5607235142118566E-2</v>
      </c>
      <c r="M323">
        <v>3.2685666666666668E-2</v>
      </c>
      <c r="N323">
        <v>2.8000000000000001E-2</v>
      </c>
      <c r="O323">
        <v>-0.2069</v>
      </c>
      <c r="P323">
        <v>9.8578811369508926E-2</v>
      </c>
      <c r="Q323">
        <v>7.2054000000000007E-2</v>
      </c>
    </row>
    <row r="324" spans="1:17" x14ac:dyDescent="0.3">
      <c r="A324">
        <v>20</v>
      </c>
      <c r="B324">
        <v>1.6666666666666666E-2</v>
      </c>
      <c r="C324">
        <v>-0.13799999999999998</v>
      </c>
      <c r="D324">
        <v>0.27722772277227664</v>
      </c>
      <c r="E324">
        <v>1.4900999999999999E-2</v>
      </c>
      <c r="F324">
        <v>3.833333333333333E-2</v>
      </c>
      <c r="G324">
        <v>-5.2266666666666663E-2</v>
      </c>
      <c r="H324">
        <v>0.22443338861249265</v>
      </c>
      <c r="I324">
        <v>3.7891333333333332E-2</v>
      </c>
      <c r="J324">
        <v>3.5666666666666666E-2</v>
      </c>
      <c r="K324">
        <v>-0.12923333333333334</v>
      </c>
      <c r="L324">
        <v>0.14156515319305965</v>
      </c>
      <c r="M324">
        <v>4.4313333333333337E-2</v>
      </c>
      <c r="N324">
        <v>2.8000000000000001E-2</v>
      </c>
      <c r="O324">
        <v>-0.2198</v>
      </c>
      <c r="P324">
        <v>0.11653746770025768</v>
      </c>
      <c r="Q324">
        <v>6.7403000000000005E-2</v>
      </c>
    </row>
    <row r="325" spans="1:17" x14ac:dyDescent="0.3">
      <c r="A325">
        <v>25</v>
      </c>
      <c r="B325">
        <v>6.6666666666666671E-3</v>
      </c>
      <c r="C325">
        <v>-0.13276666666666667</v>
      </c>
      <c r="D325">
        <v>0.22222222222222165</v>
      </c>
      <c r="E325">
        <v>1.1600666666666667E-2</v>
      </c>
      <c r="F325">
        <v>2.8333333333333335E-2</v>
      </c>
      <c r="G325">
        <v>-0.11273333333333334</v>
      </c>
      <c r="H325">
        <v>0.22001105583195102</v>
      </c>
      <c r="I325">
        <v>3.4574333333333339E-2</v>
      </c>
      <c r="J325">
        <v>2.1000000000000001E-2</v>
      </c>
      <c r="K325">
        <v>-0.18803333333333336</v>
      </c>
      <c r="L325">
        <v>0.16814322628276032</v>
      </c>
      <c r="M325">
        <v>3.6930333333333336E-2</v>
      </c>
      <c r="N325">
        <v>2.5999999999999999E-2</v>
      </c>
      <c r="O325">
        <v>-0.26479999999999998</v>
      </c>
      <c r="P325">
        <v>0.13643410852713134</v>
      </c>
      <c r="Q325">
        <v>6.0814E-2</v>
      </c>
    </row>
    <row r="326" spans="1:17" x14ac:dyDescent="0.3">
      <c r="A326">
        <v>30</v>
      </c>
      <c r="B326">
        <v>0.01</v>
      </c>
      <c r="C326">
        <v>-0.22730000000000003</v>
      </c>
      <c r="D326">
        <v>0.16226622662266199</v>
      </c>
      <c r="E326">
        <v>1.8201333333333333E-2</v>
      </c>
      <c r="F326">
        <v>1.4999999999999999E-2</v>
      </c>
      <c r="G326">
        <v>-0.16473333333333331</v>
      </c>
      <c r="H326">
        <v>0.19817578772802602</v>
      </c>
      <c r="I326">
        <v>3.6508999999999993E-2</v>
      </c>
      <c r="J326">
        <v>0.02</v>
      </c>
      <c r="K326">
        <v>-0.21653333333333333</v>
      </c>
      <c r="L326">
        <v>0.15485418973790999</v>
      </c>
      <c r="M326">
        <v>3.7668666666666663E-2</v>
      </c>
      <c r="N326">
        <v>2.1000000000000001E-2</v>
      </c>
      <c r="O326">
        <v>-0.43149999999999999</v>
      </c>
      <c r="P326">
        <v>0.145994832041343</v>
      </c>
      <c r="Q326">
        <v>5.8488000000000005E-2</v>
      </c>
    </row>
    <row r="327" spans="1:17" x14ac:dyDescent="0.3">
      <c r="A327">
        <v>35</v>
      </c>
      <c r="B327">
        <v>3.3333333333333335E-3</v>
      </c>
      <c r="C327">
        <v>-0.26663333333333333</v>
      </c>
      <c r="D327">
        <v>8.4158415841583831E-2</v>
      </c>
      <c r="E327">
        <v>1.1050666666666667E-2</v>
      </c>
      <c r="F327">
        <v>0.01</v>
      </c>
      <c r="G327">
        <v>-0.24116666666666667</v>
      </c>
      <c r="H327">
        <v>0.20563847429519033</v>
      </c>
      <c r="I327">
        <v>3.6509E-2</v>
      </c>
      <c r="J327">
        <v>1.7666666666666667E-2</v>
      </c>
      <c r="K327">
        <v>-0.3610666666666667</v>
      </c>
      <c r="L327">
        <v>0.16537467700258368</v>
      </c>
      <c r="M327">
        <v>3.1577666666666671E-2</v>
      </c>
      <c r="N327">
        <v>1.2000000000000002E-2</v>
      </c>
      <c r="O327">
        <v>-0.57779999999999998</v>
      </c>
      <c r="P327">
        <v>0.14315245478036134</v>
      </c>
      <c r="Q327">
        <v>5.5E-2</v>
      </c>
    </row>
    <row r="328" spans="1:17" x14ac:dyDescent="0.3">
      <c r="A328">
        <v>40</v>
      </c>
      <c r="B328">
        <v>3.3333333333333335E-3</v>
      </c>
      <c r="C328">
        <v>-0.31916666666666665</v>
      </c>
      <c r="D328">
        <v>9.8459845984598129E-2</v>
      </c>
      <c r="E328">
        <v>1.4350666666666664E-2</v>
      </c>
      <c r="F328">
        <v>1.1666666666666667E-2</v>
      </c>
      <c r="G328">
        <v>-0.3221</v>
      </c>
      <c r="H328">
        <v>0.17330016583747868</v>
      </c>
      <c r="I328">
        <v>3.6232333333333332E-2</v>
      </c>
      <c r="J328">
        <v>1.5666666666666666E-2</v>
      </c>
      <c r="K328">
        <v>-0.36286666666666667</v>
      </c>
      <c r="L328">
        <v>0.15706902916205201</v>
      </c>
      <c r="M328">
        <v>3.0285999999999997E-2</v>
      </c>
      <c r="N328">
        <v>1.6E-2</v>
      </c>
      <c r="O328">
        <v>-0.50509999999999999</v>
      </c>
      <c r="P328">
        <v>0.13501291989664035</v>
      </c>
      <c r="Q328">
        <v>5.9264000000000004E-2</v>
      </c>
    </row>
    <row r="329" spans="1:17" x14ac:dyDescent="0.3">
      <c r="A329">
        <v>45</v>
      </c>
      <c r="B329">
        <v>0</v>
      </c>
      <c r="C329">
        <v>-0.42</v>
      </c>
      <c r="D329">
        <v>5.8855885588558837E-2</v>
      </c>
      <c r="E329">
        <v>9.4003333333333335E-3</v>
      </c>
      <c r="F329">
        <v>1.3333333333333334E-2</v>
      </c>
      <c r="G329">
        <v>-0.3569</v>
      </c>
      <c r="H329">
        <v>0.18435599778883302</v>
      </c>
      <c r="I329">
        <v>3.0151999999999998E-2</v>
      </c>
      <c r="J329">
        <v>1.6666666666666666E-2</v>
      </c>
      <c r="K329">
        <v>-0.40306666666666668</v>
      </c>
      <c r="L329">
        <v>0.15356220007382768</v>
      </c>
      <c r="M329">
        <v>3.3423666666666664E-2</v>
      </c>
      <c r="N329">
        <v>1.9E-2</v>
      </c>
      <c r="O329">
        <v>-0.48100000000000004</v>
      </c>
      <c r="P329">
        <v>0.121963824289405</v>
      </c>
      <c r="Q329">
        <v>5.655000000000001E-2</v>
      </c>
    </row>
    <row r="330" spans="1:17" x14ac:dyDescent="0.3">
      <c r="A330">
        <v>50</v>
      </c>
      <c r="B330">
        <v>0</v>
      </c>
      <c r="C330">
        <v>-0.50863333333333338</v>
      </c>
      <c r="D330">
        <v>3.9053905390539038E-2</v>
      </c>
      <c r="E330">
        <v>8.3000000000000001E-3</v>
      </c>
      <c r="F330">
        <v>0.01</v>
      </c>
      <c r="G330">
        <v>-0.34839999999999999</v>
      </c>
      <c r="H330">
        <v>0.17412935323383069</v>
      </c>
      <c r="I330">
        <v>2.6006000000000001E-2</v>
      </c>
      <c r="J330">
        <v>2.3666666666666666E-2</v>
      </c>
      <c r="K330">
        <v>-0.47749999999999998</v>
      </c>
      <c r="L330">
        <v>0.16925064599483133</v>
      </c>
      <c r="M330">
        <v>3.3423666666666664E-2</v>
      </c>
      <c r="N330">
        <v>2.3000000000000003E-2</v>
      </c>
      <c r="O330">
        <v>-0.59399999999999997</v>
      </c>
      <c r="P330">
        <v>0.11111111111111056</v>
      </c>
      <c r="Q330">
        <v>4.9960999999999998E-2</v>
      </c>
    </row>
    <row r="331" spans="1:17" x14ac:dyDescent="0.3">
      <c r="A331">
        <v>55</v>
      </c>
      <c r="B331">
        <v>0</v>
      </c>
      <c r="C331">
        <v>-0.60099999999999998</v>
      </c>
      <c r="D331">
        <v>3.5203520352035167E-2</v>
      </c>
      <c r="E331">
        <v>5.5499999999999994E-3</v>
      </c>
      <c r="F331">
        <v>5.0000000000000001E-3</v>
      </c>
      <c r="G331">
        <v>-0.53700000000000003</v>
      </c>
      <c r="H331">
        <v>9.6738529574350238E-2</v>
      </c>
      <c r="I331">
        <v>2.3242333333333334E-2</v>
      </c>
      <c r="J331">
        <v>1.8666666666666668E-2</v>
      </c>
      <c r="K331">
        <v>-0.42706666666666671</v>
      </c>
      <c r="L331">
        <v>0.146179401993355</v>
      </c>
      <c r="M331">
        <v>3.3423666666666664E-2</v>
      </c>
      <c r="N331">
        <v>2.5999999999999999E-2</v>
      </c>
      <c r="O331">
        <v>-0.75439999999999996</v>
      </c>
      <c r="P331">
        <v>0.11214470284237665</v>
      </c>
      <c r="Q331">
        <v>5.3061999999999998E-2</v>
      </c>
    </row>
    <row r="332" spans="1:17" x14ac:dyDescent="0.3">
      <c r="A332">
        <v>60</v>
      </c>
      <c r="B332">
        <v>0</v>
      </c>
      <c r="C332">
        <v>-1.0664333333333333</v>
      </c>
      <c r="D332">
        <v>2.9152915291529136E-2</v>
      </c>
      <c r="E332">
        <v>7.7499999999999999E-3</v>
      </c>
      <c r="F332">
        <v>1.6666666666666668E-3</v>
      </c>
      <c r="G332">
        <v>-0.52233333333333332</v>
      </c>
      <c r="H332">
        <v>8.706467661691536E-2</v>
      </c>
      <c r="I332">
        <v>2.1307333333333334E-2</v>
      </c>
      <c r="J332">
        <v>1.4666666666666668E-2</v>
      </c>
      <c r="K332">
        <v>-0.49626666666666663</v>
      </c>
      <c r="L332">
        <v>0.14857881136950835</v>
      </c>
      <c r="M332">
        <v>3.0470999999999998E-2</v>
      </c>
      <c r="N332">
        <v>1.9E-2</v>
      </c>
      <c r="O332">
        <v>-0.91100000000000003</v>
      </c>
      <c r="P332">
        <v>0.11098191214470234</v>
      </c>
      <c r="Q332">
        <v>5.1124000000000003E-2</v>
      </c>
    </row>
    <row r="333" spans="1:17" x14ac:dyDescent="0.3">
      <c r="A333">
        <v>65</v>
      </c>
      <c r="B333">
        <v>0</v>
      </c>
      <c r="C333">
        <v>-1.2823</v>
      </c>
      <c r="D333">
        <v>1.5951595159515931E-2</v>
      </c>
      <c r="E333">
        <v>5.0000000000000001E-3</v>
      </c>
      <c r="F333">
        <v>3.3333333333333335E-3</v>
      </c>
      <c r="G333">
        <v>-0.95800000000000007</v>
      </c>
      <c r="H333">
        <v>6.440022111663897E-2</v>
      </c>
      <c r="I333">
        <v>2.1030666666666666E-2</v>
      </c>
      <c r="J333">
        <v>1.6666666666666666E-2</v>
      </c>
      <c r="K333">
        <v>-0.46866666666666673</v>
      </c>
      <c r="L333">
        <v>0.14747139165743803</v>
      </c>
      <c r="M333">
        <v>2.6963999999999998E-2</v>
      </c>
      <c r="N333">
        <v>1.9E-2</v>
      </c>
      <c r="O333">
        <v>-0.95499999999999996</v>
      </c>
      <c r="P333">
        <v>0.117571059431524</v>
      </c>
      <c r="Q333">
        <v>4.3372000000000001E-2</v>
      </c>
    </row>
    <row r="334" spans="1:17" x14ac:dyDescent="0.3">
      <c r="A334">
        <v>70</v>
      </c>
      <c r="B334">
        <v>0</v>
      </c>
      <c r="C334">
        <v>-1.7290333333333334</v>
      </c>
      <c r="D334">
        <v>1.1001100110010967E-2</v>
      </c>
      <c r="E334">
        <v>5.5500000000000002E-3</v>
      </c>
      <c r="F334">
        <v>1.6666666666666668E-3</v>
      </c>
      <c r="G334">
        <v>-1.0637000000000001</v>
      </c>
      <c r="H334">
        <v>6.357103372028744E-2</v>
      </c>
      <c r="I334">
        <v>2.0478333333333334E-2</v>
      </c>
      <c r="J334">
        <v>1.1000000000000001E-2</v>
      </c>
      <c r="K334">
        <v>-0.54643333333333322</v>
      </c>
      <c r="L334">
        <v>0.14027316352897667</v>
      </c>
      <c r="M334">
        <v>2.8624666666666663E-2</v>
      </c>
      <c r="N334">
        <v>2.3000000000000003E-2</v>
      </c>
      <c r="O334">
        <v>-0.96989999999999998</v>
      </c>
      <c r="P334">
        <v>0.11899224806201499</v>
      </c>
      <c r="Q334">
        <v>4.4146999999999999E-2</v>
      </c>
    </row>
    <row r="335" spans="1:17" x14ac:dyDescent="0.3">
      <c r="A335">
        <v>75</v>
      </c>
      <c r="B335">
        <v>0</v>
      </c>
      <c r="C335">
        <v>-1.9107333333333332</v>
      </c>
      <c r="D335">
        <v>1.1551155115511533E-2</v>
      </c>
      <c r="E335">
        <v>5.0000000000000001E-3</v>
      </c>
      <c r="F335">
        <v>1.6666666666666668E-3</v>
      </c>
      <c r="G335">
        <v>-1.1678999999999999</v>
      </c>
      <c r="H335">
        <v>5.4449972360420096E-2</v>
      </c>
      <c r="I335">
        <v>1.9372333333333335E-2</v>
      </c>
      <c r="J335">
        <v>7.6666666666666662E-3</v>
      </c>
      <c r="K335">
        <v>-0.60560000000000003</v>
      </c>
      <c r="L335">
        <v>0.12882982650424499</v>
      </c>
      <c r="M335">
        <v>2.5118000000000001E-2</v>
      </c>
      <c r="N335">
        <v>1.9E-2</v>
      </c>
      <c r="O335">
        <v>-1.0282</v>
      </c>
      <c r="P335">
        <v>9.6899224806201459E-2</v>
      </c>
      <c r="Q335">
        <v>4.1047E-2</v>
      </c>
    </row>
    <row r="336" spans="1:17" x14ac:dyDescent="0.3">
      <c r="A336">
        <v>80</v>
      </c>
      <c r="B336">
        <v>0</v>
      </c>
      <c r="C336">
        <v>-1.9733000000000001</v>
      </c>
      <c r="D336">
        <v>6.0506050605060495E-3</v>
      </c>
      <c r="E336">
        <v>5.0000000000000001E-3</v>
      </c>
      <c r="F336">
        <v>1.6666666666666668E-3</v>
      </c>
      <c r="G336">
        <v>-1.2834666666666668</v>
      </c>
      <c r="H336">
        <v>4.063018242122713E-2</v>
      </c>
      <c r="I336">
        <v>1.7161333333333331E-2</v>
      </c>
      <c r="J336">
        <v>5.6666666666666671E-3</v>
      </c>
      <c r="K336">
        <v>-0.70093333333333341</v>
      </c>
      <c r="L336">
        <v>0.11609449981542934</v>
      </c>
      <c r="M336">
        <v>2.3826E-2</v>
      </c>
      <c r="N336">
        <v>2.1000000000000001E-2</v>
      </c>
      <c r="O336">
        <v>-0.97060000000000002</v>
      </c>
      <c r="P336">
        <v>9.6770025839793231E-2</v>
      </c>
      <c r="Q336">
        <v>3.8720999999999998E-2</v>
      </c>
    </row>
    <row r="337" spans="1:17" x14ac:dyDescent="0.3">
      <c r="A337">
        <v>85</v>
      </c>
      <c r="B337">
        <v>0</v>
      </c>
      <c r="C337">
        <v>-2.5961666666666665</v>
      </c>
      <c r="D337">
        <v>2.75027502750275E-3</v>
      </c>
      <c r="E337">
        <v>5.0000000000000001E-3</v>
      </c>
      <c r="F337">
        <v>0</v>
      </c>
      <c r="G337">
        <v>-1.5569333333333333</v>
      </c>
      <c r="H337">
        <v>4.0353786622443301E-2</v>
      </c>
      <c r="I337">
        <v>1.5779333333333333E-2</v>
      </c>
      <c r="J337">
        <v>1E-3</v>
      </c>
      <c r="K337">
        <v>-0.74363333333333337</v>
      </c>
      <c r="L337">
        <v>0.12550756736803201</v>
      </c>
      <c r="M337">
        <v>1.9581333333333333E-2</v>
      </c>
      <c r="N337">
        <v>1.9E-2</v>
      </c>
      <c r="O337">
        <v>-0.95360000000000011</v>
      </c>
      <c r="P337">
        <v>9.1214470284237667E-2</v>
      </c>
      <c r="Q337">
        <v>3.6007999999999998E-2</v>
      </c>
    </row>
    <row r="338" spans="1:17" x14ac:dyDescent="0.3">
      <c r="A338">
        <v>90</v>
      </c>
      <c r="B338">
        <v>0</v>
      </c>
      <c r="C338">
        <v>-2.7718333333333334</v>
      </c>
      <c r="D338">
        <v>1.65016501650165E-3</v>
      </c>
      <c r="E338">
        <v>5.0000000000000001E-3</v>
      </c>
      <c r="F338">
        <v>0</v>
      </c>
      <c r="G338">
        <v>-1.7276666666666667</v>
      </c>
      <c r="H338">
        <v>3.7313432835820837E-2</v>
      </c>
      <c r="I338">
        <v>1.1909666666666667E-2</v>
      </c>
      <c r="J338">
        <v>1E-3</v>
      </c>
      <c r="K338">
        <v>-0.76273333333333326</v>
      </c>
      <c r="L338">
        <v>0.11923218899963067</v>
      </c>
      <c r="M338">
        <v>1.8842666666666667E-2</v>
      </c>
      <c r="N338">
        <v>1.6E-2</v>
      </c>
      <c r="O338">
        <v>-0.98349999999999993</v>
      </c>
      <c r="P338">
        <v>8.3720930232558124E-2</v>
      </c>
      <c r="Q338">
        <v>3.6783000000000003E-2</v>
      </c>
    </row>
    <row r="339" spans="1:17" x14ac:dyDescent="0.3">
      <c r="A339">
        <v>95</v>
      </c>
      <c r="B339">
        <v>0</v>
      </c>
      <c r="C339">
        <v>-2.9221333333333335</v>
      </c>
      <c r="D339">
        <v>1.1001100110011001E-3</v>
      </c>
      <c r="E339">
        <v>5.0000000000000001E-3</v>
      </c>
      <c r="F339">
        <v>0</v>
      </c>
      <c r="G339">
        <v>-1.7617666666666667</v>
      </c>
      <c r="H339">
        <v>2.7915975677169663E-2</v>
      </c>
      <c r="I339">
        <v>1.3567999999999998E-2</v>
      </c>
      <c r="J339">
        <v>3.3333333333333335E-3</v>
      </c>
      <c r="K339">
        <v>-0.80010000000000003</v>
      </c>
      <c r="L339">
        <v>0.11498708010335905</v>
      </c>
      <c r="M339">
        <v>1.8104666666666668E-2</v>
      </c>
      <c r="N339">
        <v>1.4E-2</v>
      </c>
      <c r="O339">
        <v>-1.0426</v>
      </c>
      <c r="P339">
        <v>7.7260981912144658E-2</v>
      </c>
      <c r="Q339">
        <v>3.2132000000000001E-2</v>
      </c>
    </row>
    <row r="340" spans="1:17" x14ac:dyDescent="0.3">
      <c r="A340">
        <v>100</v>
      </c>
      <c r="B340">
        <v>0</v>
      </c>
      <c r="C340">
        <v>-3.1465000000000001</v>
      </c>
      <c r="D340">
        <v>5.5005500550055003E-4</v>
      </c>
      <c r="E340">
        <v>5.0000000000000001E-3</v>
      </c>
      <c r="F340">
        <v>0</v>
      </c>
      <c r="G340">
        <v>-2.2748666666666666</v>
      </c>
      <c r="H340">
        <v>2.8468767274737367E-2</v>
      </c>
      <c r="I340">
        <v>1.3568000000000002E-2</v>
      </c>
      <c r="J340">
        <v>1E-3</v>
      </c>
      <c r="K340">
        <v>-0.98533333333333317</v>
      </c>
      <c r="L340">
        <v>0.11720191952750066</v>
      </c>
      <c r="M340">
        <v>1.7919666666666667E-2</v>
      </c>
      <c r="N340">
        <v>1.4E-2</v>
      </c>
      <c r="O340">
        <v>-1.1328</v>
      </c>
      <c r="P340">
        <v>7.97157622739018E-2</v>
      </c>
      <c r="Q340">
        <v>3.2518999999999999E-2</v>
      </c>
    </row>
    <row r="341" spans="1:17" x14ac:dyDescent="0.3">
      <c r="A341">
        <v>105</v>
      </c>
      <c r="B341">
        <v>0</v>
      </c>
      <c r="C341">
        <v>-3.2044999999999999</v>
      </c>
      <c r="D341">
        <v>0</v>
      </c>
      <c r="E341">
        <v>5.0000000000000001E-3</v>
      </c>
      <c r="F341">
        <v>0</v>
      </c>
      <c r="G341">
        <v>-2.9660333333333333</v>
      </c>
      <c r="H341">
        <v>2.0176893311221633E-2</v>
      </c>
      <c r="I341">
        <v>9.6986666666666662E-3</v>
      </c>
      <c r="J341">
        <v>1E-3</v>
      </c>
      <c r="K341">
        <v>-1.0563333333333331</v>
      </c>
      <c r="L341">
        <v>9.5238095238094969E-2</v>
      </c>
      <c r="M341">
        <v>1.5889666666666667E-2</v>
      </c>
      <c r="N341">
        <v>1.4E-2</v>
      </c>
      <c r="O341">
        <v>-1.0898000000000001</v>
      </c>
      <c r="P341">
        <v>6.8733850129198901E-2</v>
      </c>
      <c r="Q341">
        <v>3.0581000000000001E-2</v>
      </c>
    </row>
    <row r="342" spans="1:17" x14ac:dyDescent="0.3">
      <c r="A342">
        <v>110</v>
      </c>
      <c r="B342">
        <v>0</v>
      </c>
      <c r="C342">
        <v>-3.2812333333333332</v>
      </c>
      <c r="D342">
        <v>0</v>
      </c>
      <c r="E342">
        <v>5.0000000000000001E-3</v>
      </c>
      <c r="F342">
        <v>0</v>
      </c>
      <c r="G342">
        <v>-2.4980666666666669</v>
      </c>
      <c r="H342">
        <v>2.0453289110005466E-2</v>
      </c>
      <c r="I342">
        <v>1.0251333333333333E-2</v>
      </c>
      <c r="J342">
        <v>1E-3</v>
      </c>
      <c r="K342">
        <v>-1.1149666666666667</v>
      </c>
      <c r="L342">
        <v>0.10354374307862674</v>
      </c>
      <c r="M342">
        <v>1.6258666666666668E-2</v>
      </c>
      <c r="N342">
        <v>1.2000000000000002E-2</v>
      </c>
      <c r="O342">
        <v>-1.2116</v>
      </c>
      <c r="P342">
        <v>6.0077519379844901E-2</v>
      </c>
      <c r="Q342">
        <v>3.1744000000000001E-2</v>
      </c>
    </row>
    <row r="343" spans="1:17" x14ac:dyDescent="0.3">
      <c r="A343">
        <v>115</v>
      </c>
      <c r="B343">
        <v>0</v>
      </c>
      <c r="C343">
        <v>-3.3769666666666667</v>
      </c>
      <c r="D343">
        <v>0</v>
      </c>
      <c r="E343">
        <v>5.0000000000000001E-3</v>
      </c>
      <c r="F343">
        <v>0</v>
      </c>
      <c r="G343">
        <v>-3.1854666666666667</v>
      </c>
      <c r="H343">
        <v>2.0453289110005466E-2</v>
      </c>
      <c r="I343">
        <v>1.0803999999999999E-2</v>
      </c>
      <c r="J343">
        <v>1E-3</v>
      </c>
      <c r="K343">
        <v>-1.7143333333333333</v>
      </c>
      <c r="L343">
        <v>9.2838685861941286E-2</v>
      </c>
      <c r="M343">
        <v>1.5336000000000001E-2</v>
      </c>
      <c r="N343">
        <v>8.9999999999999993E-3</v>
      </c>
      <c r="O343">
        <v>-1.3284</v>
      </c>
      <c r="P343">
        <v>6.3049095607235095E-2</v>
      </c>
      <c r="Q343">
        <v>2.7092999999999996E-2</v>
      </c>
    </row>
    <row r="344" spans="1:17" x14ac:dyDescent="0.3">
      <c r="A344">
        <v>120</v>
      </c>
      <c r="B344">
        <v>0</v>
      </c>
      <c r="C344">
        <v>-3.4365000000000001</v>
      </c>
      <c r="D344">
        <v>0</v>
      </c>
      <c r="E344">
        <v>5.0000000000000001E-3</v>
      </c>
      <c r="F344">
        <v>0</v>
      </c>
      <c r="G344">
        <v>-3.1879333333333335</v>
      </c>
      <c r="H344">
        <v>1.6583747927031465E-2</v>
      </c>
      <c r="I344">
        <v>8.8693333333333332E-3</v>
      </c>
      <c r="J344">
        <v>1E-3</v>
      </c>
      <c r="K344">
        <v>-1.7963666666666667</v>
      </c>
      <c r="L344">
        <v>9.6345514950166078E-2</v>
      </c>
      <c r="M344">
        <v>1.3305666666666667E-2</v>
      </c>
      <c r="N344">
        <v>8.9999999999999993E-3</v>
      </c>
      <c r="O344">
        <v>-1.3661000000000001</v>
      </c>
      <c r="P344">
        <v>6.2015503875968964E-2</v>
      </c>
      <c r="Q344">
        <v>2.5929999999999998E-2</v>
      </c>
    </row>
    <row r="345" spans="1:17" x14ac:dyDescent="0.3">
      <c r="A345">
        <v>125</v>
      </c>
      <c r="B345">
        <v>0</v>
      </c>
      <c r="C345">
        <v>-3.5541666666666667</v>
      </c>
      <c r="D345">
        <v>0</v>
      </c>
      <c r="E345">
        <v>5.0000000000000001E-3</v>
      </c>
      <c r="F345">
        <v>0</v>
      </c>
      <c r="G345">
        <v>-3.3001</v>
      </c>
      <c r="H345">
        <v>1.4372581536760598E-2</v>
      </c>
      <c r="I345">
        <v>9.1459999999999996E-3</v>
      </c>
      <c r="J345">
        <v>0</v>
      </c>
      <c r="K345">
        <v>-1.6660333333333333</v>
      </c>
      <c r="L345">
        <v>8.1949058693244703E-2</v>
      </c>
      <c r="M345">
        <v>1.1459666666666667E-2</v>
      </c>
      <c r="N345">
        <v>7.0000000000000001E-3</v>
      </c>
      <c r="O345">
        <v>-1.4700999999999997</v>
      </c>
      <c r="P345">
        <v>5.4134366925064535E-2</v>
      </c>
      <c r="Q345">
        <v>2.3991999999999999E-2</v>
      </c>
    </row>
    <row r="346" spans="1:17" x14ac:dyDescent="0.3">
      <c r="A346">
        <v>130</v>
      </c>
      <c r="B346">
        <v>0</v>
      </c>
      <c r="C346">
        <v>-3.557033333333333</v>
      </c>
      <c r="D346">
        <v>0</v>
      </c>
      <c r="E346">
        <v>5.0000000000000001E-3</v>
      </c>
      <c r="F346">
        <v>0</v>
      </c>
      <c r="G346">
        <v>-3.1996333333333333</v>
      </c>
      <c r="H346">
        <v>1.2714206744057448E-2</v>
      </c>
      <c r="I346">
        <v>8.5929999999999982E-3</v>
      </c>
      <c r="J346">
        <v>0</v>
      </c>
      <c r="K346">
        <v>-1.9725333333333335</v>
      </c>
      <c r="L346">
        <v>7.9734219269102971E-2</v>
      </c>
      <c r="M346">
        <v>1.2567333333333333E-2</v>
      </c>
      <c r="N346">
        <v>5.0000000000000001E-3</v>
      </c>
      <c r="O346">
        <v>-1.5283</v>
      </c>
      <c r="P346">
        <v>5.180878552971574E-2</v>
      </c>
      <c r="Q346">
        <v>2.0504000000000001E-2</v>
      </c>
    </row>
    <row r="347" spans="1:17" x14ac:dyDescent="0.3">
      <c r="A347">
        <v>135</v>
      </c>
      <c r="B347">
        <v>0</v>
      </c>
      <c r="C347">
        <v>-3.7301666666666669</v>
      </c>
      <c r="D347">
        <v>0</v>
      </c>
      <c r="E347">
        <v>5.0000000000000001E-3</v>
      </c>
      <c r="F347">
        <v>0</v>
      </c>
      <c r="G347">
        <v>-3.2444666666666664</v>
      </c>
      <c r="H347">
        <v>1.1885019347705868E-2</v>
      </c>
      <c r="I347">
        <v>7.7640000000000001E-3</v>
      </c>
      <c r="J347">
        <v>0</v>
      </c>
      <c r="K347">
        <v>-2.0821666666666663</v>
      </c>
      <c r="L347">
        <v>8.1210778885197468E-2</v>
      </c>
      <c r="M347">
        <v>1.2013666666666667E-2</v>
      </c>
      <c r="N347">
        <v>5.0000000000000001E-3</v>
      </c>
      <c r="O347">
        <v>-1.4854000000000001</v>
      </c>
      <c r="P347">
        <v>4.8837209302325525E-2</v>
      </c>
      <c r="Q347">
        <v>2.2442E-2</v>
      </c>
    </row>
    <row r="348" spans="1:17" x14ac:dyDescent="0.3">
      <c r="A348">
        <v>140</v>
      </c>
      <c r="B348">
        <v>0</v>
      </c>
      <c r="C348">
        <v>-3.6524000000000001</v>
      </c>
      <c r="D348">
        <v>0</v>
      </c>
      <c r="E348">
        <v>5.0000000000000001E-3</v>
      </c>
      <c r="F348">
        <v>0</v>
      </c>
      <c r="G348">
        <v>-3.543333333333333</v>
      </c>
      <c r="H348">
        <v>1.0779436152570444E-2</v>
      </c>
      <c r="I348">
        <v>7.4876666666666659E-3</v>
      </c>
      <c r="J348">
        <v>0</v>
      </c>
      <c r="K348">
        <v>-2.1339666666666668</v>
      </c>
      <c r="L348">
        <v>8.0472499077150206E-2</v>
      </c>
      <c r="M348">
        <v>1.2382666666666667E-2</v>
      </c>
      <c r="N348">
        <v>5.0000000000000001E-3</v>
      </c>
      <c r="O348">
        <v>-1.6386000000000001</v>
      </c>
      <c r="P348">
        <v>4.7416020671834563E-2</v>
      </c>
      <c r="Q348">
        <v>2.3605000000000001E-2</v>
      </c>
    </row>
    <row r="349" spans="1:17" x14ac:dyDescent="0.3">
      <c r="A349">
        <v>145</v>
      </c>
      <c r="B349">
        <v>0</v>
      </c>
      <c r="C349">
        <v>-3.5713666666666666</v>
      </c>
      <c r="D349">
        <v>0</v>
      </c>
      <c r="E349">
        <v>5.0000000000000001E-3</v>
      </c>
      <c r="F349">
        <v>0</v>
      </c>
      <c r="G349">
        <v>-3.4426333333333332</v>
      </c>
      <c r="H349">
        <v>1.1608623548922043E-2</v>
      </c>
      <c r="I349">
        <v>7.4876666666666659E-3</v>
      </c>
      <c r="J349">
        <v>0</v>
      </c>
      <c r="K349">
        <v>-2.1814000000000004</v>
      </c>
      <c r="L349">
        <v>7.6596530084902137E-2</v>
      </c>
      <c r="M349">
        <v>1.1090666666666665E-2</v>
      </c>
      <c r="N349">
        <v>5.0000000000000001E-3</v>
      </c>
      <c r="O349">
        <v>-1.7107000000000001</v>
      </c>
      <c r="P349">
        <v>4.5736434108527069E-2</v>
      </c>
      <c r="Q349">
        <v>1.8565999999999999E-2</v>
      </c>
    </row>
    <row r="350" spans="1:17" x14ac:dyDescent="0.3">
      <c r="A350">
        <v>150</v>
      </c>
      <c r="B350">
        <v>0</v>
      </c>
      <c r="C350">
        <v>-3.3236666666666665</v>
      </c>
      <c r="D350">
        <v>0</v>
      </c>
      <c r="E350">
        <v>5.0000000000000001E-3</v>
      </c>
      <c r="F350">
        <v>0</v>
      </c>
      <c r="G350">
        <v>-3.5738333333333334</v>
      </c>
      <c r="H350">
        <v>1.1332227750138139E-2</v>
      </c>
      <c r="I350">
        <v>7.4876666666666659E-3</v>
      </c>
      <c r="J350">
        <v>0</v>
      </c>
      <c r="K350">
        <v>-2.2458333333333336</v>
      </c>
      <c r="L350">
        <v>6.1277224067921708E-2</v>
      </c>
      <c r="M350">
        <v>1.0905999999999999E-2</v>
      </c>
      <c r="N350">
        <v>5.0000000000000001E-3</v>
      </c>
      <c r="O350">
        <v>-1.6456999999999999</v>
      </c>
      <c r="P350">
        <v>4.1860465116279034E-2</v>
      </c>
      <c r="Q350">
        <v>1.8565999999999999E-2</v>
      </c>
    </row>
    <row r="351" spans="1:17" x14ac:dyDescent="0.3">
      <c r="A351">
        <v>155</v>
      </c>
      <c r="B351">
        <v>0</v>
      </c>
      <c r="C351">
        <v>-3.278833333333333</v>
      </c>
      <c r="D351">
        <v>5.5005500550055003E-4</v>
      </c>
      <c r="E351">
        <v>5.0000000000000001E-3</v>
      </c>
      <c r="F351">
        <v>0</v>
      </c>
      <c r="G351">
        <v>-3.6117333333333335</v>
      </c>
      <c r="H351">
        <v>1.0503040353786583E-2</v>
      </c>
      <c r="I351">
        <v>7.2113333333333335E-3</v>
      </c>
      <c r="J351">
        <v>0</v>
      </c>
      <c r="K351">
        <v>-2.4128333333333334</v>
      </c>
      <c r="L351">
        <v>6.25692137320044E-2</v>
      </c>
      <c r="M351">
        <v>1.0168E-2</v>
      </c>
      <c r="N351">
        <v>2E-3</v>
      </c>
      <c r="O351">
        <v>-1.8273999999999999</v>
      </c>
      <c r="P351">
        <v>3.8372093023255768E-2</v>
      </c>
      <c r="Q351">
        <v>2.0504000000000001E-2</v>
      </c>
    </row>
    <row r="352" spans="1:17" x14ac:dyDescent="0.3">
      <c r="A352">
        <v>160</v>
      </c>
      <c r="B352">
        <v>0</v>
      </c>
      <c r="C352">
        <v>-3.1124333333333332</v>
      </c>
      <c r="D352">
        <v>0</v>
      </c>
      <c r="E352">
        <v>5.0000000000000001E-3</v>
      </c>
      <c r="F352">
        <v>0</v>
      </c>
      <c r="G352">
        <v>-3.6467333333333336</v>
      </c>
      <c r="H352">
        <v>9.3974571586511822E-3</v>
      </c>
      <c r="I352">
        <v>7.4876666666666659E-3</v>
      </c>
      <c r="J352">
        <v>0</v>
      </c>
      <c r="K352">
        <v>-2.4263666666666666</v>
      </c>
      <c r="L352">
        <v>5.7401255075673639E-2</v>
      </c>
      <c r="M352">
        <v>9.6143333333333341E-3</v>
      </c>
      <c r="N352">
        <v>0</v>
      </c>
      <c r="O352">
        <v>-1.8501000000000001</v>
      </c>
      <c r="P352">
        <v>3.6175710594315173E-2</v>
      </c>
      <c r="Q352">
        <v>1.7016E-2</v>
      </c>
    </row>
    <row r="353" spans="1:17" x14ac:dyDescent="0.3">
      <c r="A353">
        <v>165</v>
      </c>
      <c r="B353">
        <v>0</v>
      </c>
      <c r="C353">
        <v>-2.7863666666666664</v>
      </c>
      <c r="D353">
        <v>1.65016501650165E-3</v>
      </c>
      <c r="E353">
        <v>5.0000000000000001E-3</v>
      </c>
      <c r="F353">
        <v>0</v>
      </c>
      <c r="G353">
        <v>-3.8812333333333329</v>
      </c>
      <c r="H353">
        <v>9.3974571586511561E-3</v>
      </c>
      <c r="I353">
        <v>7.4876666666666659E-3</v>
      </c>
      <c r="J353">
        <v>0</v>
      </c>
      <c r="K353">
        <v>-2.746866666666667</v>
      </c>
      <c r="L353">
        <v>5.0018456995201133E-2</v>
      </c>
      <c r="M353">
        <v>8.6913333333333339E-3</v>
      </c>
      <c r="N353">
        <v>0</v>
      </c>
      <c r="O353">
        <v>-1.8937999999999999</v>
      </c>
      <c r="P353">
        <v>3.74677002583979E-2</v>
      </c>
      <c r="Q353">
        <v>1.6628E-2</v>
      </c>
    </row>
    <row r="354" spans="1:17" x14ac:dyDescent="0.3">
      <c r="A354">
        <v>170</v>
      </c>
      <c r="B354">
        <v>0</v>
      </c>
      <c r="C354">
        <v>-2.5698666666666665</v>
      </c>
      <c r="D354">
        <v>5.5005500550055003E-4</v>
      </c>
      <c r="E354">
        <v>5.0000000000000001E-3</v>
      </c>
      <c r="F354">
        <v>0</v>
      </c>
      <c r="G354">
        <v>-4.0828666666666669</v>
      </c>
      <c r="H354">
        <v>9.3974571586511822E-3</v>
      </c>
      <c r="I354">
        <v>6.9349999999999993E-3</v>
      </c>
      <c r="J354">
        <v>0</v>
      </c>
      <c r="K354">
        <v>-2.7523</v>
      </c>
      <c r="L354">
        <v>4.9095607235142065E-2</v>
      </c>
      <c r="M354">
        <v>9.0603333333333317E-3</v>
      </c>
      <c r="N354">
        <v>0</v>
      </c>
      <c r="O354">
        <v>-1.9892000000000001</v>
      </c>
      <c r="P354">
        <v>3.5012919896640765E-2</v>
      </c>
      <c r="Q354">
        <v>1.7016E-2</v>
      </c>
    </row>
    <row r="355" spans="1:17" x14ac:dyDescent="0.3">
      <c r="A355">
        <v>175</v>
      </c>
      <c r="B355">
        <v>0</v>
      </c>
      <c r="C355">
        <v>-2.3815666666666666</v>
      </c>
      <c r="D355">
        <v>2.2002200220022001E-3</v>
      </c>
      <c r="E355">
        <v>5.0000000000000001E-3</v>
      </c>
      <c r="F355">
        <v>0</v>
      </c>
      <c r="G355">
        <v>-4.2754000000000003</v>
      </c>
      <c r="H355">
        <v>9.1210613598673163E-3</v>
      </c>
      <c r="I355">
        <v>6.9349999999999993E-3</v>
      </c>
      <c r="J355">
        <v>0</v>
      </c>
      <c r="K355">
        <v>-2.8090999999999995</v>
      </c>
      <c r="L355">
        <v>5.0572166851236534E-2</v>
      </c>
      <c r="M355">
        <v>8.691666666666667E-3</v>
      </c>
      <c r="N355">
        <v>0</v>
      </c>
      <c r="O355">
        <v>-2.0177</v>
      </c>
      <c r="P355">
        <v>3.1782945736434066E-2</v>
      </c>
      <c r="Q355">
        <v>1.5465E-2</v>
      </c>
    </row>
    <row r="356" spans="1:17" x14ac:dyDescent="0.3">
      <c r="A356">
        <v>180</v>
      </c>
      <c r="B356">
        <v>0</v>
      </c>
      <c r="C356">
        <v>-2.1325666666666665</v>
      </c>
      <c r="D356">
        <v>3.3003300330032999E-3</v>
      </c>
      <c r="E356">
        <v>5.5500000000000002E-3</v>
      </c>
      <c r="F356">
        <v>0</v>
      </c>
      <c r="G356">
        <v>-4.356233333333333</v>
      </c>
      <c r="H356">
        <v>8.2918739635157428E-3</v>
      </c>
      <c r="I356">
        <v>6.3816666666666666E-3</v>
      </c>
      <c r="J356">
        <v>0</v>
      </c>
      <c r="K356">
        <v>-3.0752000000000002</v>
      </c>
      <c r="L356">
        <v>4.1712809154669565E-2</v>
      </c>
      <c r="M356">
        <v>7.7683333333333328E-3</v>
      </c>
      <c r="N356">
        <v>0</v>
      </c>
      <c r="O356">
        <v>-1.9977</v>
      </c>
      <c r="P356">
        <v>2.8036175710594264E-2</v>
      </c>
      <c r="Q356">
        <v>1.1977E-2</v>
      </c>
    </row>
    <row r="357" spans="1:17" x14ac:dyDescent="0.3">
      <c r="A357">
        <v>185</v>
      </c>
      <c r="B357">
        <v>0</v>
      </c>
      <c r="C357">
        <v>-1.9786666666666666</v>
      </c>
      <c r="D357">
        <v>6.0506050605060495E-3</v>
      </c>
      <c r="E357">
        <v>5.5500000000000002E-3</v>
      </c>
      <c r="F357">
        <v>0</v>
      </c>
      <c r="G357">
        <v>-4.4097</v>
      </c>
      <c r="H357">
        <v>5.8043117744610235E-3</v>
      </c>
      <c r="I357">
        <v>7.4876666666666659E-3</v>
      </c>
      <c r="J357">
        <v>0</v>
      </c>
      <c r="K357">
        <v>-3.6399666666666666</v>
      </c>
      <c r="L357">
        <v>5.0572166851236562E-2</v>
      </c>
      <c r="M357">
        <v>9.0603333333333352E-3</v>
      </c>
      <c r="N357">
        <v>0</v>
      </c>
      <c r="O357">
        <v>-2.0251000000000001</v>
      </c>
      <c r="P357">
        <v>2.7002583979328133E-2</v>
      </c>
      <c r="Q357">
        <v>1.2364E-2</v>
      </c>
    </row>
    <row r="358" spans="1:17" x14ac:dyDescent="0.3">
      <c r="A358">
        <v>190</v>
      </c>
      <c r="B358">
        <v>0</v>
      </c>
      <c r="C358">
        <v>-1.6529999999999998</v>
      </c>
      <c r="D358">
        <v>7.7007700770076832E-3</v>
      </c>
      <c r="E358">
        <v>5.5499999999999994E-3</v>
      </c>
      <c r="F358">
        <v>0</v>
      </c>
      <c r="G358">
        <v>-4.500866666666667</v>
      </c>
      <c r="H358">
        <v>6.0807075732448798E-3</v>
      </c>
      <c r="I358">
        <v>6.3819999999999997E-3</v>
      </c>
      <c r="J358">
        <v>0</v>
      </c>
      <c r="K358">
        <v>-3.7634333333333334</v>
      </c>
      <c r="L358">
        <v>3.5252860834256133E-2</v>
      </c>
      <c r="M358">
        <v>7.953E-3</v>
      </c>
      <c r="N358">
        <v>0</v>
      </c>
      <c r="O358">
        <v>-2.0535000000000001</v>
      </c>
      <c r="P358">
        <v>2.609819121447023E-2</v>
      </c>
      <c r="Q358">
        <v>1.1589E-2</v>
      </c>
    </row>
    <row r="359" spans="1:17" x14ac:dyDescent="0.3">
      <c r="A359">
        <v>195</v>
      </c>
      <c r="B359">
        <v>0</v>
      </c>
      <c r="C359">
        <v>-1.4562666666666668</v>
      </c>
      <c r="D359">
        <v>8.2508250825082483E-3</v>
      </c>
      <c r="E359">
        <v>6.1000000000000004E-3</v>
      </c>
      <c r="F359">
        <v>0</v>
      </c>
      <c r="G359">
        <v>-4.3808000000000007</v>
      </c>
      <c r="H359">
        <v>7.1862907683803131E-3</v>
      </c>
      <c r="I359">
        <v>6.1053333333333333E-3</v>
      </c>
      <c r="J359">
        <v>0</v>
      </c>
      <c r="K359">
        <v>-3.7278333333333333</v>
      </c>
      <c r="L359">
        <v>4.2266519010704995E-2</v>
      </c>
      <c r="M359">
        <v>8.3223333333333344E-3</v>
      </c>
      <c r="N359">
        <v>0</v>
      </c>
      <c r="O359">
        <v>-2.1145</v>
      </c>
      <c r="P359">
        <v>2.2997416020671766E-2</v>
      </c>
      <c r="Q359">
        <v>8.8760000000000002E-3</v>
      </c>
    </row>
    <row r="360" spans="1:17" x14ac:dyDescent="0.3">
      <c r="A360">
        <v>200</v>
      </c>
      <c r="B360">
        <v>3.3333333333333335E-3</v>
      </c>
      <c r="C360">
        <v>-1.2742333333333333</v>
      </c>
      <c r="D360">
        <v>1.2101210121012099E-2</v>
      </c>
      <c r="E360">
        <v>1.1600666666666667E-2</v>
      </c>
      <c r="F360">
        <v>0</v>
      </c>
      <c r="G360">
        <v>-4.329766666666667</v>
      </c>
      <c r="H360">
        <v>6.909894969596461E-3</v>
      </c>
      <c r="I360">
        <v>5.5526666666666667E-3</v>
      </c>
      <c r="J360">
        <v>0</v>
      </c>
      <c r="K360">
        <v>-3.7454666666666667</v>
      </c>
      <c r="L360">
        <v>4.3004798818752299E-2</v>
      </c>
      <c r="M360">
        <v>7.953E-3</v>
      </c>
      <c r="N360">
        <v>0</v>
      </c>
      <c r="O360">
        <v>-2.0952000000000002</v>
      </c>
      <c r="P360">
        <v>2.3772609819121368E-2</v>
      </c>
      <c r="Q360">
        <v>1.1201999999999998E-2</v>
      </c>
    </row>
    <row r="361" spans="1:17" x14ac:dyDescent="0.3">
      <c r="A361">
        <v>205</v>
      </c>
      <c r="B361">
        <v>1.3333333333333334E-2</v>
      </c>
      <c r="C361">
        <v>-1.0235999999999998</v>
      </c>
      <c r="D361">
        <v>1.6501650165016483E-2</v>
      </c>
      <c r="E361">
        <v>9.4000000000000004E-3</v>
      </c>
      <c r="F361">
        <v>0</v>
      </c>
      <c r="G361">
        <v>-4.3243</v>
      </c>
      <c r="H361">
        <v>6.357103372028744E-3</v>
      </c>
      <c r="I361">
        <v>7.7640000000000001E-3</v>
      </c>
      <c r="J361">
        <v>0</v>
      </c>
      <c r="K361">
        <v>-3.8602333333333334</v>
      </c>
      <c r="L361">
        <v>3.4883720930232502E-2</v>
      </c>
      <c r="M361">
        <v>7.0303333333333329E-3</v>
      </c>
      <c r="N361">
        <v>0</v>
      </c>
      <c r="O361">
        <v>-3.5904000000000003</v>
      </c>
      <c r="P361">
        <v>2.0801033591731233E-2</v>
      </c>
      <c r="Q361">
        <v>1.2364E-2</v>
      </c>
    </row>
    <row r="362" spans="1:17" x14ac:dyDescent="0.3">
      <c r="A362">
        <v>210</v>
      </c>
      <c r="B362">
        <v>1.6666666666666666E-2</v>
      </c>
      <c r="C362">
        <v>-0.65056666666666663</v>
      </c>
      <c r="D362">
        <v>2.4752475247524736E-2</v>
      </c>
      <c r="E362">
        <v>1.1050666666666667E-2</v>
      </c>
      <c r="F362">
        <v>0</v>
      </c>
      <c r="G362">
        <v>-4.3531666666666666</v>
      </c>
      <c r="H362">
        <v>7.4626865671641564E-3</v>
      </c>
      <c r="I362">
        <v>6.6583333333333329E-3</v>
      </c>
      <c r="J362">
        <v>0</v>
      </c>
      <c r="K362">
        <v>-3.8225333333333329</v>
      </c>
      <c r="L362">
        <v>3.7652270210409733E-2</v>
      </c>
      <c r="M362">
        <v>7.5836666666666665E-3</v>
      </c>
      <c r="N362">
        <v>0</v>
      </c>
      <c r="O362">
        <v>-3.8184999999999998</v>
      </c>
      <c r="P362">
        <v>2.1705426356589102E-2</v>
      </c>
      <c r="Q362">
        <v>1.0426E-2</v>
      </c>
    </row>
    <row r="363" spans="1:17" x14ac:dyDescent="0.3">
      <c r="A363">
        <v>215</v>
      </c>
      <c r="B363">
        <v>3.3333333333333333E-2</v>
      </c>
      <c r="C363">
        <v>-0.39403333333333329</v>
      </c>
      <c r="D363">
        <v>3.410341034103407E-2</v>
      </c>
      <c r="E363">
        <v>1.3800666666666664E-2</v>
      </c>
      <c r="F363">
        <v>0</v>
      </c>
      <c r="G363">
        <v>-4.303066666666667</v>
      </c>
      <c r="H363">
        <v>5.5279159756771628E-3</v>
      </c>
      <c r="I363">
        <v>6.1053333333333333E-3</v>
      </c>
      <c r="J363">
        <v>0</v>
      </c>
      <c r="K363">
        <v>-3.9368333333333339</v>
      </c>
      <c r="L363">
        <v>3.2115171650055299E-2</v>
      </c>
      <c r="M363">
        <v>5.1846666666666673E-3</v>
      </c>
      <c r="N363">
        <v>0</v>
      </c>
      <c r="O363">
        <v>-3.8494000000000006</v>
      </c>
      <c r="P363">
        <v>2.00258397932816E-2</v>
      </c>
      <c r="Q363">
        <v>1.0038999999999999E-2</v>
      </c>
    </row>
    <row r="364" spans="1:17" x14ac:dyDescent="0.3">
      <c r="A364">
        <v>220</v>
      </c>
      <c r="B364">
        <v>4.9666666666666671E-2</v>
      </c>
      <c r="C364">
        <v>-0.18773333333333334</v>
      </c>
      <c r="D364">
        <v>4.1804180418041764E-2</v>
      </c>
      <c r="E364">
        <v>1.6551E-2</v>
      </c>
      <c r="F364">
        <v>0</v>
      </c>
      <c r="G364">
        <v>-4.2492333333333336</v>
      </c>
      <c r="H364">
        <v>6.0807075732448798E-3</v>
      </c>
      <c r="I364">
        <v>6.1056666666666664E-3</v>
      </c>
      <c r="J364">
        <v>0</v>
      </c>
      <c r="K364">
        <v>-4.0058333333333325</v>
      </c>
      <c r="L364">
        <v>2.6947212993724563E-2</v>
      </c>
      <c r="M364">
        <v>6.4766666666666662E-3</v>
      </c>
      <c r="N364">
        <v>0</v>
      </c>
      <c r="O364">
        <v>-3.9382999999999999</v>
      </c>
      <c r="P364">
        <v>1.6666666666666597E-2</v>
      </c>
      <c r="Q364">
        <v>1.0038999999999999E-2</v>
      </c>
    </row>
    <row r="365" spans="1:17" x14ac:dyDescent="0.3">
      <c r="A365">
        <v>225</v>
      </c>
      <c r="B365">
        <v>5.9333333333333328E-2</v>
      </c>
      <c r="C365">
        <v>-5.4233333333333335E-2</v>
      </c>
      <c r="D365">
        <v>6.3806380638063764E-2</v>
      </c>
      <c r="E365">
        <v>2.3151999999999995E-2</v>
      </c>
      <c r="F365">
        <v>0</v>
      </c>
      <c r="G365">
        <v>-4.2389333333333337</v>
      </c>
      <c r="H365">
        <v>6.3571033720287396E-3</v>
      </c>
      <c r="I365">
        <v>6.6583333333333329E-3</v>
      </c>
      <c r="J365">
        <v>0</v>
      </c>
      <c r="K365">
        <v>-4.1688999999999998</v>
      </c>
      <c r="L365">
        <v>3.3038021410114367E-2</v>
      </c>
      <c r="M365">
        <v>5.9226666666666664E-3</v>
      </c>
      <c r="N365">
        <v>0</v>
      </c>
      <c r="O365">
        <v>-3.9815</v>
      </c>
      <c r="P365">
        <v>1.8217054263565832E-2</v>
      </c>
      <c r="Q365">
        <v>1.0038999999999999E-2</v>
      </c>
    </row>
    <row r="366" spans="1:17" x14ac:dyDescent="0.3">
      <c r="A366">
        <v>230</v>
      </c>
      <c r="B366">
        <v>6.933333333333333E-2</v>
      </c>
      <c r="C366">
        <v>-2.4966666666666668E-2</v>
      </c>
      <c r="D366">
        <v>5.7755775577557733E-2</v>
      </c>
      <c r="E366">
        <v>1.8751E-2</v>
      </c>
      <c r="F366">
        <v>0</v>
      </c>
      <c r="G366">
        <v>-4.1818999999999997</v>
      </c>
      <c r="H366">
        <v>6.6334991708125969E-3</v>
      </c>
      <c r="I366">
        <v>6.6586666666666669E-3</v>
      </c>
      <c r="J366">
        <v>0</v>
      </c>
      <c r="K366">
        <v>-4.2552000000000003</v>
      </c>
      <c r="L366">
        <v>2.9346622369878134E-2</v>
      </c>
      <c r="M366">
        <v>6.4763333333333339E-3</v>
      </c>
      <c r="N366">
        <v>0</v>
      </c>
      <c r="O366">
        <v>-4.0509000000000004</v>
      </c>
      <c r="P366">
        <v>1.5633074935400466E-2</v>
      </c>
      <c r="Q366">
        <v>1.0038999999999999E-2</v>
      </c>
    </row>
    <row r="367" spans="1:17" x14ac:dyDescent="0.3">
      <c r="A367">
        <v>235</v>
      </c>
      <c r="B367">
        <v>8.2333333333333342E-2</v>
      </c>
      <c r="C367">
        <v>5.0066666666666669E-2</v>
      </c>
      <c r="D367">
        <v>8.7458745874587421E-2</v>
      </c>
      <c r="E367">
        <v>2.0951333333333332E-2</v>
      </c>
      <c r="F367">
        <v>0</v>
      </c>
      <c r="G367">
        <v>-3.9670666666666663</v>
      </c>
      <c r="H367">
        <v>8.0154781647318891E-3</v>
      </c>
      <c r="I367">
        <v>7.4876666666666659E-3</v>
      </c>
      <c r="J367">
        <v>0</v>
      </c>
      <c r="K367">
        <v>-4.4298666666666664</v>
      </c>
      <c r="L367">
        <v>3.0084902177925404E-2</v>
      </c>
      <c r="M367">
        <v>6.6613333333333342E-3</v>
      </c>
      <c r="N367">
        <v>0</v>
      </c>
      <c r="O367">
        <v>-4.0559000000000003</v>
      </c>
      <c r="P367">
        <v>1.6020671834625268E-2</v>
      </c>
      <c r="Q367">
        <v>8.8760000000000002E-3</v>
      </c>
    </row>
    <row r="368" spans="1:17" x14ac:dyDescent="0.3">
      <c r="A368">
        <v>240</v>
      </c>
      <c r="B368">
        <v>0.11233333333333333</v>
      </c>
      <c r="C368">
        <v>9.4000000000000014E-2</v>
      </c>
      <c r="D368">
        <v>0.11386138613861334</v>
      </c>
      <c r="E368">
        <v>4.3503666666666663E-2</v>
      </c>
      <c r="F368">
        <v>0</v>
      </c>
      <c r="G368">
        <v>-4.0091666666666663</v>
      </c>
      <c r="H368">
        <v>6.0807075732448798E-3</v>
      </c>
      <c r="I368">
        <v>6.6583333333333329E-3</v>
      </c>
      <c r="J368">
        <v>0</v>
      </c>
      <c r="K368">
        <v>-4.3529333333333335</v>
      </c>
      <c r="L368">
        <v>2.6208933185677297E-2</v>
      </c>
      <c r="M368">
        <v>5.738333333333334E-3</v>
      </c>
      <c r="N368">
        <v>0</v>
      </c>
      <c r="O368">
        <v>-4.2633000000000001</v>
      </c>
      <c r="P368">
        <v>1.4470284237726068E-2</v>
      </c>
      <c r="Q368">
        <v>7.7130000000000002E-3</v>
      </c>
    </row>
    <row r="369" spans="1:17" x14ac:dyDescent="0.3">
      <c r="A369">
        <v>245</v>
      </c>
      <c r="B369">
        <v>0.13566666666666669</v>
      </c>
      <c r="C369">
        <v>0.13436666666666666</v>
      </c>
      <c r="D369">
        <v>0.13256325632563201</v>
      </c>
      <c r="E369">
        <v>3.9103666666666669E-2</v>
      </c>
      <c r="F369">
        <v>0</v>
      </c>
      <c r="G369">
        <v>-3.8729</v>
      </c>
      <c r="H369">
        <v>6.6334991708125969E-3</v>
      </c>
      <c r="I369">
        <v>6.1053333333333333E-3</v>
      </c>
      <c r="J369">
        <v>0</v>
      </c>
      <c r="K369">
        <v>-4.3968999999999996</v>
      </c>
      <c r="L369">
        <v>2.4547803617571001E-2</v>
      </c>
      <c r="M369">
        <v>6.4763333333333339E-3</v>
      </c>
      <c r="N369">
        <v>0</v>
      </c>
      <c r="O369">
        <v>-4.2996999999999996</v>
      </c>
      <c r="P369">
        <v>1.3695090439276468E-2</v>
      </c>
      <c r="Q369">
        <v>8.4880000000000008E-3</v>
      </c>
    </row>
    <row r="370" spans="1:17" x14ac:dyDescent="0.3">
      <c r="A370">
        <v>250</v>
      </c>
      <c r="B370">
        <v>0.18133333333333335</v>
      </c>
      <c r="C370">
        <v>0.13936666666666667</v>
      </c>
      <c r="D370">
        <v>0.165566556655665</v>
      </c>
      <c r="E370">
        <v>5.7805333333333341E-2</v>
      </c>
      <c r="F370">
        <v>0</v>
      </c>
      <c r="G370">
        <v>-3.8563333333333332</v>
      </c>
      <c r="H370">
        <v>7.1862907683803131E-3</v>
      </c>
      <c r="I370">
        <v>5.829E-3</v>
      </c>
      <c r="J370">
        <v>0</v>
      </c>
      <c r="K370">
        <v>-4.5863666666666667</v>
      </c>
      <c r="L370">
        <v>2.3624953857511937E-2</v>
      </c>
      <c r="M370">
        <v>6.8456666666666666E-3</v>
      </c>
      <c r="N370">
        <v>0</v>
      </c>
      <c r="O370">
        <v>-4.4036999999999997</v>
      </c>
      <c r="P370">
        <v>1.2273901808785468E-2</v>
      </c>
      <c r="Q370">
        <v>7.326E-3</v>
      </c>
    </row>
    <row r="371" spans="1:17" x14ac:dyDescent="0.3">
      <c r="A371">
        <v>255</v>
      </c>
      <c r="B371">
        <v>0.19466666666666665</v>
      </c>
      <c r="C371">
        <v>0.15873333333333334</v>
      </c>
      <c r="D371">
        <v>0.18426842684268366</v>
      </c>
      <c r="E371">
        <v>5.3405000000000001E-2</v>
      </c>
      <c r="F371">
        <v>0</v>
      </c>
      <c r="G371">
        <v>-3.7683</v>
      </c>
      <c r="H371">
        <v>6.0807075732448798E-3</v>
      </c>
      <c r="I371">
        <v>6.6586666666666669E-3</v>
      </c>
      <c r="J371">
        <v>0</v>
      </c>
      <c r="K371">
        <v>-4.6139000000000001</v>
      </c>
      <c r="L371">
        <v>2.6393503137689133E-2</v>
      </c>
      <c r="M371">
        <v>6.1073333333333327E-3</v>
      </c>
      <c r="N371">
        <v>0</v>
      </c>
      <c r="O371">
        <v>-4.5042</v>
      </c>
      <c r="P371">
        <v>1.0594315245477983E-2</v>
      </c>
      <c r="Q371">
        <v>8.4880000000000008E-3</v>
      </c>
    </row>
    <row r="372" spans="1:17" x14ac:dyDescent="0.3">
      <c r="A372">
        <v>260</v>
      </c>
      <c r="B372">
        <v>0.21466666666666667</v>
      </c>
      <c r="C372">
        <v>0.1905</v>
      </c>
      <c r="D372">
        <v>0.21342134213421302</v>
      </c>
      <c r="E372">
        <v>6.550566666666667E-2</v>
      </c>
      <c r="F372">
        <v>0</v>
      </c>
      <c r="G372">
        <v>-3.5349666666666661</v>
      </c>
      <c r="H372">
        <v>6.9098949695964558E-3</v>
      </c>
      <c r="I372">
        <v>5.829E-3</v>
      </c>
      <c r="J372">
        <v>0</v>
      </c>
      <c r="K372">
        <v>-4.7156000000000002</v>
      </c>
      <c r="L372">
        <v>2.4732373569582831E-2</v>
      </c>
      <c r="M372">
        <v>5.738333333333334E-3</v>
      </c>
      <c r="N372">
        <v>0</v>
      </c>
      <c r="O372">
        <v>-8.0128000000000004</v>
      </c>
      <c r="P372">
        <v>1.1886304909560668E-2</v>
      </c>
      <c r="Q372">
        <v>8.1010000000000006E-3</v>
      </c>
    </row>
    <row r="373" spans="1:17" x14ac:dyDescent="0.3">
      <c r="A373">
        <v>265</v>
      </c>
      <c r="B373">
        <v>0.254</v>
      </c>
      <c r="C373">
        <v>0.23373333333333335</v>
      </c>
      <c r="D373">
        <v>0.23157315731573069</v>
      </c>
      <c r="E373">
        <v>8.585799999999999E-2</v>
      </c>
      <c r="F373">
        <v>0</v>
      </c>
      <c r="G373">
        <v>-3.4798666666666667</v>
      </c>
      <c r="H373">
        <v>6.6334991708125969E-3</v>
      </c>
      <c r="I373">
        <v>8.0403333333333316E-3</v>
      </c>
      <c r="J373">
        <v>0</v>
      </c>
      <c r="K373">
        <v>-4.7871666666666668</v>
      </c>
      <c r="L373">
        <v>2.2148394241417433E-2</v>
      </c>
      <c r="M373">
        <v>5.738E-3</v>
      </c>
      <c r="N373">
        <v>0</v>
      </c>
      <c r="O373">
        <v>-8.3264999999999993</v>
      </c>
      <c r="P373">
        <v>1.0981912144702765E-2</v>
      </c>
      <c r="Q373">
        <v>7.7130000000000002E-3</v>
      </c>
    </row>
    <row r="374" spans="1:17" x14ac:dyDescent="0.3">
      <c r="A374">
        <v>270</v>
      </c>
      <c r="B374">
        <v>0.26400000000000001</v>
      </c>
      <c r="C374">
        <v>0.2301333333333333</v>
      </c>
      <c r="D374">
        <v>0.25302530253025268</v>
      </c>
      <c r="E374">
        <v>9.7409333333333334E-2</v>
      </c>
      <c r="F374">
        <v>0</v>
      </c>
      <c r="G374">
        <v>-3.3727333333333331</v>
      </c>
      <c r="H374">
        <v>6.0807075732448798E-3</v>
      </c>
      <c r="I374">
        <v>6.6586666666666669E-3</v>
      </c>
      <c r="J374">
        <v>0</v>
      </c>
      <c r="K374">
        <v>-4.7877000000000001</v>
      </c>
      <c r="L374">
        <v>2.1779254337393833E-2</v>
      </c>
      <c r="M374">
        <v>5.1846666666666673E-3</v>
      </c>
      <c r="N374">
        <v>0</v>
      </c>
      <c r="O374">
        <v>-8.6140000000000008</v>
      </c>
      <c r="P374">
        <v>1.0335917312661433E-2</v>
      </c>
      <c r="Q374">
        <v>8.8760000000000002E-3</v>
      </c>
    </row>
    <row r="375" spans="1:17" x14ac:dyDescent="0.3">
      <c r="A375">
        <v>275</v>
      </c>
      <c r="B375">
        <v>0.29033333333333333</v>
      </c>
      <c r="C375">
        <v>0.27103333333333329</v>
      </c>
      <c r="D375">
        <v>0.27942794279427902</v>
      </c>
      <c r="E375">
        <v>0.10620999999999998</v>
      </c>
      <c r="F375">
        <v>0</v>
      </c>
      <c r="G375">
        <v>-3.3226666666666667</v>
      </c>
      <c r="H375">
        <v>7.7390823659480067E-3</v>
      </c>
      <c r="I375">
        <v>8.3169999999999997E-3</v>
      </c>
      <c r="J375">
        <v>0</v>
      </c>
      <c r="K375">
        <v>-4.9497333333333335</v>
      </c>
      <c r="L375">
        <v>2.1594684385382035E-2</v>
      </c>
      <c r="M375">
        <v>5.9226666666666664E-3</v>
      </c>
      <c r="N375">
        <v>0</v>
      </c>
      <c r="O375">
        <v>-8.7998999999999992</v>
      </c>
      <c r="P375">
        <v>1.0206718346253201E-2</v>
      </c>
      <c r="Q375">
        <v>7.326E-3</v>
      </c>
    </row>
    <row r="376" spans="1:17" x14ac:dyDescent="0.3">
      <c r="A376">
        <v>280</v>
      </c>
      <c r="B376">
        <v>0.3136666666666667</v>
      </c>
      <c r="C376">
        <v>0.29699999999999999</v>
      </c>
      <c r="D376">
        <v>0.30033003300329963</v>
      </c>
      <c r="E376">
        <v>9.7959333333333329E-2</v>
      </c>
      <c r="F376">
        <v>0</v>
      </c>
      <c r="G376">
        <v>-3.2229666666666668</v>
      </c>
      <c r="H376">
        <v>5.8043117744610235E-3</v>
      </c>
      <c r="I376">
        <v>8.5929999999999982E-3</v>
      </c>
      <c r="J376">
        <v>0</v>
      </c>
      <c r="K376">
        <v>-5.051166666666667</v>
      </c>
      <c r="L376">
        <v>2.0118124769287499E-2</v>
      </c>
      <c r="M376">
        <v>5.738333333333334E-3</v>
      </c>
      <c r="N376">
        <v>0</v>
      </c>
      <c r="O376">
        <v>-9.0114999999999998</v>
      </c>
      <c r="P376">
        <v>8.397932816537463E-3</v>
      </c>
      <c r="Q376">
        <v>7.326E-3</v>
      </c>
    </row>
    <row r="377" spans="1:17" x14ac:dyDescent="0.3">
      <c r="A377">
        <v>285</v>
      </c>
      <c r="B377">
        <v>0.34</v>
      </c>
      <c r="C377">
        <v>0.47366666666666668</v>
      </c>
      <c r="D377">
        <v>0.32948294829482899</v>
      </c>
      <c r="E377">
        <v>0.117211</v>
      </c>
      <c r="F377">
        <v>0</v>
      </c>
      <c r="G377">
        <v>-3.1861333333333328</v>
      </c>
      <c r="H377">
        <v>6.9098949695964558E-3</v>
      </c>
      <c r="I377">
        <v>6.6583333333333329E-3</v>
      </c>
      <c r="J377">
        <v>0</v>
      </c>
      <c r="K377">
        <v>-5.0831999999999997</v>
      </c>
      <c r="L377">
        <v>2.3624953857511937E-2</v>
      </c>
      <c r="M377">
        <v>5.3689999999999996E-3</v>
      </c>
      <c r="N377">
        <v>0</v>
      </c>
      <c r="O377">
        <v>-9.2386999999999997</v>
      </c>
      <c r="P377">
        <v>7.8811369509043886E-3</v>
      </c>
      <c r="Q377">
        <v>7.326E-3</v>
      </c>
    </row>
    <row r="378" spans="1:17" x14ac:dyDescent="0.3">
      <c r="A378">
        <v>290</v>
      </c>
      <c r="B378">
        <v>0.373</v>
      </c>
      <c r="C378">
        <v>0.37043333333333334</v>
      </c>
      <c r="D378">
        <v>0.36523652365236497</v>
      </c>
      <c r="E378">
        <v>0.14251366666666668</v>
      </c>
      <c r="F378">
        <v>0</v>
      </c>
      <c r="G378">
        <v>-3.0918666666666663</v>
      </c>
      <c r="H378">
        <v>6.9098949695964558E-3</v>
      </c>
      <c r="I378">
        <v>8.0406666666666664E-3</v>
      </c>
      <c r="J378">
        <v>0</v>
      </c>
      <c r="K378">
        <v>-5.0990000000000002</v>
      </c>
      <c r="L378">
        <v>1.8272425249169402E-2</v>
      </c>
      <c r="M378">
        <v>5.3693333333333336E-3</v>
      </c>
      <c r="N378">
        <v>0</v>
      </c>
      <c r="O378">
        <v>-9.0657999999999994</v>
      </c>
      <c r="P378">
        <v>7.751937984496117E-3</v>
      </c>
      <c r="Q378">
        <v>8.1010000000000006E-3</v>
      </c>
    </row>
    <row r="379" spans="1:17" x14ac:dyDescent="0.3">
      <c r="A379">
        <v>295</v>
      </c>
      <c r="B379">
        <v>0.39933333333333332</v>
      </c>
      <c r="C379">
        <v>0.40260000000000001</v>
      </c>
      <c r="D379">
        <v>0.38778877887788732</v>
      </c>
      <c r="E379">
        <v>0.15791533333333332</v>
      </c>
      <c r="F379">
        <v>0</v>
      </c>
      <c r="G379">
        <v>-2.9496666666666669</v>
      </c>
      <c r="H379">
        <v>9.1210613598672902E-3</v>
      </c>
      <c r="I379">
        <v>7.2109999999999995E-3</v>
      </c>
      <c r="J379">
        <v>0</v>
      </c>
      <c r="K379">
        <v>-5.2017666666666669</v>
      </c>
      <c r="L379">
        <v>1.384274640088589E-2</v>
      </c>
      <c r="M379">
        <v>5.3693333333333336E-3</v>
      </c>
      <c r="N379">
        <v>0</v>
      </c>
      <c r="O379">
        <v>-9.1745999999999999</v>
      </c>
      <c r="P379">
        <v>7.6227390180878497E-3</v>
      </c>
      <c r="Q379">
        <v>6.9379999999999997E-3</v>
      </c>
    </row>
    <row r="380" spans="1:17" x14ac:dyDescent="0.3">
      <c r="A380">
        <v>300</v>
      </c>
      <c r="B380">
        <v>0.41566666666666668</v>
      </c>
      <c r="C380">
        <v>0.41466666666666668</v>
      </c>
      <c r="D380">
        <v>0.40099009900990068</v>
      </c>
      <c r="E380">
        <v>0.16286600000000001</v>
      </c>
      <c r="F380">
        <v>0</v>
      </c>
      <c r="G380">
        <v>-2.7702666666666667</v>
      </c>
      <c r="H380">
        <v>7.7390823659480336E-3</v>
      </c>
      <c r="I380">
        <v>6.9349999999999993E-3</v>
      </c>
      <c r="J380">
        <v>0</v>
      </c>
      <c r="K380">
        <v>-5.3204666666666673</v>
      </c>
      <c r="L380">
        <v>1.69804355850867E-2</v>
      </c>
      <c r="M380">
        <v>5.0000000000000001E-3</v>
      </c>
      <c r="N380">
        <v>0</v>
      </c>
      <c r="O380">
        <v>-9.4385999999999992</v>
      </c>
      <c r="P380">
        <v>7.1059431524547771E-3</v>
      </c>
      <c r="Q380">
        <v>7.326E-3</v>
      </c>
    </row>
    <row r="381" spans="1:17" x14ac:dyDescent="0.3">
      <c r="A381">
        <v>305</v>
      </c>
      <c r="B381">
        <v>0.4323333333333334</v>
      </c>
      <c r="C381">
        <v>0.42650000000000005</v>
      </c>
      <c r="D381">
        <v>0.4301430143014297</v>
      </c>
      <c r="E381">
        <v>0.19916933333333331</v>
      </c>
      <c r="F381">
        <v>0</v>
      </c>
      <c r="G381">
        <v>-2.8193666666666668</v>
      </c>
      <c r="H381">
        <v>7.7390823659480371E-3</v>
      </c>
      <c r="I381">
        <v>7.7640000000000001E-3</v>
      </c>
      <c r="J381">
        <v>0</v>
      </c>
      <c r="K381">
        <v>-5.5027333333333344</v>
      </c>
      <c r="L381">
        <v>1.5503875968992201E-2</v>
      </c>
      <c r="M381">
        <v>5.1846666666666673E-3</v>
      </c>
      <c r="N381">
        <v>0</v>
      </c>
      <c r="O381">
        <v>-9.5907</v>
      </c>
      <c r="P381">
        <v>5.4263565891472798E-3</v>
      </c>
      <c r="Q381">
        <v>6.5500000000000003E-3</v>
      </c>
    </row>
    <row r="382" spans="1:17" x14ac:dyDescent="0.3">
      <c r="A382">
        <v>310</v>
      </c>
      <c r="B382">
        <v>0.46533333333333332</v>
      </c>
      <c r="C382">
        <v>0.43503333333333333</v>
      </c>
      <c r="D382">
        <v>0.44939493949394865</v>
      </c>
      <c r="E382">
        <v>0.16121566666666667</v>
      </c>
      <c r="F382">
        <v>0</v>
      </c>
      <c r="G382">
        <v>-2.6016999999999997</v>
      </c>
      <c r="H382">
        <v>7.7390823659480301E-3</v>
      </c>
      <c r="I382">
        <v>9.6986666666666662E-3</v>
      </c>
      <c r="J382">
        <v>0</v>
      </c>
      <c r="K382">
        <v>-6.4011666666666658</v>
      </c>
      <c r="L382">
        <v>1.5688445921004022E-2</v>
      </c>
      <c r="M382">
        <v>5.553666666666666E-3</v>
      </c>
      <c r="N382">
        <v>0</v>
      </c>
      <c r="O382">
        <v>-9.7187999999999999</v>
      </c>
      <c r="P382">
        <v>6.5891472868216993E-3</v>
      </c>
      <c r="Q382">
        <v>6.5500000000000003E-3</v>
      </c>
    </row>
    <row r="383" spans="1:17" x14ac:dyDescent="0.3">
      <c r="A383">
        <v>315</v>
      </c>
      <c r="B383">
        <v>0.4916666666666667</v>
      </c>
      <c r="C383">
        <v>0.48376666666666668</v>
      </c>
      <c r="D383">
        <v>0.47634763476347591</v>
      </c>
      <c r="E383">
        <v>0.18706800000000001</v>
      </c>
      <c r="F383">
        <v>0</v>
      </c>
      <c r="G383">
        <v>-2.4798666666666667</v>
      </c>
      <c r="H383">
        <v>8.2918739635157324E-3</v>
      </c>
      <c r="I383">
        <v>8.8696666666666663E-3</v>
      </c>
      <c r="J383">
        <v>0</v>
      </c>
      <c r="K383">
        <v>-6.5424666666666669</v>
      </c>
      <c r="L383">
        <v>1.1627906976744165E-2</v>
      </c>
      <c r="M383">
        <v>5.0000000000000001E-3</v>
      </c>
      <c r="N383">
        <v>0</v>
      </c>
      <c r="O383">
        <v>-10.2469</v>
      </c>
      <c r="P383">
        <v>6.0723514211886232E-3</v>
      </c>
      <c r="Q383">
        <v>5.7749999999999998E-3</v>
      </c>
    </row>
    <row r="384" spans="1:17" x14ac:dyDescent="0.3">
      <c r="A384">
        <v>320</v>
      </c>
      <c r="B384">
        <v>0.505</v>
      </c>
      <c r="C384">
        <v>0.50253333333333328</v>
      </c>
      <c r="D384">
        <v>0.49504950495049499</v>
      </c>
      <c r="E384">
        <v>0.21182066666666666</v>
      </c>
      <c r="F384">
        <v>0</v>
      </c>
      <c r="G384">
        <v>-2.4149333333333334</v>
      </c>
      <c r="H384">
        <v>9.3974571586511665E-3</v>
      </c>
      <c r="I384">
        <v>8.593333333333333E-3</v>
      </c>
      <c r="J384">
        <v>0</v>
      </c>
      <c r="K384">
        <v>-6.5529666666666664</v>
      </c>
      <c r="L384">
        <v>1.4027316352897667E-2</v>
      </c>
      <c r="M384">
        <v>5.0000000000000001E-3</v>
      </c>
      <c r="N384">
        <v>0</v>
      </c>
      <c r="O384">
        <v>-10.1668</v>
      </c>
      <c r="P384">
        <v>5.4263565891472833E-3</v>
      </c>
      <c r="Q384">
        <v>6.1629999999999992E-3</v>
      </c>
    </row>
    <row r="385" spans="1:17" x14ac:dyDescent="0.3">
      <c r="A385">
        <v>325</v>
      </c>
      <c r="B385">
        <v>0.52800000000000002</v>
      </c>
      <c r="C385">
        <v>0.53159999999999996</v>
      </c>
      <c r="D385">
        <v>0.51320132013201303</v>
      </c>
      <c r="E385">
        <v>0.25692500000000001</v>
      </c>
      <c r="F385">
        <v>0</v>
      </c>
      <c r="G385">
        <v>-1.8956333333333333</v>
      </c>
      <c r="H385">
        <v>7.4626865671641764E-3</v>
      </c>
      <c r="I385">
        <v>9.6986666666666662E-3</v>
      </c>
      <c r="J385">
        <v>0</v>
      </c>
      <c r="K385">
        <v>-6.6464666666666661</v>
      </c>
      <c r="L385">
        <v>1.1627906976744177E-2</v>
      </c>
      <c r="M385">
        <v>5.0000000000000001E-3</v>
      </c>
      <c r="N385">
        <v>0</v>
      </c>
      <c r="O385">
        <v>-10.4251</v>
      </c>
      <c r="P385">
        <v>4.5219638242894001E-3</v>
      </c>
      <c r="Q385">
        <v>6.5500000000000003E-3</v>
      </c>
    </row>
    <row r="386" spans="1:17" x14ac:dyDescent="0.3">
      <c r="A386">
        <v>330</v>
      </c>
      <c r="B386">
        <v>0.55100000000000005</v>
      </c>
      <c r="C386">
        <v>0.53406666666666658</v>
      </c>
      <c r="D386">
        <v>0.54235423542354166</v>
      </c>
      <c r="E386">
        <v>0.28167766666666666</v>
      </c>
      <c r="F386">
        <v>0</v>
      </c>
      <c r="G386">
        <v>-2.2083999999999997</v>
      </c>
      <c r="H386">
        <v>1.1608623548922033E-2</v>
      </c>
      <c r="I386">
        <v>9.9749999999999995E-3</v>
      </c>
      <c r="J386">
        <v>0</v>
      </c>
      <c r="K386">
        <v>-6.6813333333333338</v>
      </c>
      <c r="L386">
        <v>1.0335917312661473E-2</v>
      </c>
      <c r="M386">
        <v>5.0000000000000001E-3</v>
      </c>
      <c r="N386">
        <v>0</v>
      </c>
      <c r="O386">
        <v>-10.831099999999999</v>
      </c>
      <c r="P386">
        <v>4.1343669250645939E-3</v>
      </c>
      <c r="Q386">
        <v>5.7749999999999998E-3</v>
      </c>
    </row>
    <row r="387" spans="1:17" x14ac:dyDescent="0.3">
      <c r="A387">
        <v>335</v>
      </c>
      <c r="B387">
        <v>0.56433333333333335</v>
      </c>
      <c r="C387">
        <v>0.4669666666666667</v>
      </c>
      <c r="D387">
        <v>0.55720572057205653</v>
      </c>
      <c r="E387">
        <v>0.246474</v>
      </c>
      <c r="F387">
        <v>1.6666666666666668E-3</v>
      </c>
      <c r="G387">
        <v>-2.0595333333333334</v>
      </c>
      <c r="H387">
        <v>8.5682697622995931E-3</v>
      </c>
      <c r="I387">
        <v>1.2186333333333334E-2</v>
      </c>
      <c r="J387">
        <v>0</v>
      </c>
      <c r="K387">
        <v>-6.7908333333333344</v>
      </c>
      <c r="L387">
        <v>1.3658176448874107E-2</v>
      </c>
      <c r="M387">
        <v>5.0000000000000001E-3</v>
      </c>
      <c r="N387">
        <v>0</v>
      </c>
      <c r="O387">
        <v>-10.6638</v>
      </c>
      <c r="P387">
        <v>4.005167958656324E-3</v>
      </c>
      <c r="Q387">
        <v>5.7749999999999998E-3</v>
      </c>
    </row>
    <row r="388" spans="1:17" x14ac:dyDescent="0.3">
      <c r="A388">
        <v>340</v>
      </c>
      <c r="B388">
        <v>0.58399999999999996</v>
      </c>
      <c r="C388">
        <v>0.35993333333333338</v>
      </c>
      <c r="D388">
        <v>0.57315731573157302</v>
      </c>
      <c r="E388">
        <v>0.313031</v>
      </c>
      <c r="F388">
        <v>1.6666666666666668E-3</v>
      </c>
      <c r="G388">
        <v>-2.0271333333333335</v>
      </c>
      <c r="H388">
        <v>1.3266998341625183E-2</v>
      </c>
      <c r="I388">
        <v>1.2462333333333332E-2</v>
      </c>
      <c r="J388">
        <v>0</v>
      </c>
      <c r="K388">
        <v>-6.9087666666666676</v>
      </c>
      <c r="L388">
        <v>1.1812476928755941E-2</v>
      </c>
      <c r="M388">
        <v>5.0000000000000001E-3</v>
      </c>
      <c r="N388">
        <v>0</v>
      </c>
      <c r="O388">
        <v>-10.770799999999999</v>
      </c>
      <c r="P388">
        <v>4.2635658914728638E-3</v>
      </c>
      <c r="Q388">
        <v>5.3880000000000004E-3</v>
      </c>
    </row>
    <row r="389" spans="1:17" x14ac:dyDescent="0.3">
      <c r="A389">
        <v>345</v>
      </c>
      <c r="B389">
        <v>0.58733333333333337</v>
      </c>
      <c r="C389">
        <v>0.63523333333333332</v>
      </c>
      <c r="D389">
        <v>0.57535753575357507</v>
      </c>
      <c r="E389">
        <v>0.27837733333333331</v>
      </c>
      <c r="F389">
        <v>1.6666666666666668E-3</v>
      </c>
      <c r="G389">
        <v>-1.9455333333333333</v>
      </c>
      <c r="H389">
        <v>9.3974571586511665E-3</v>
      </c>
      <c r="I389">
        <v>9.9749999999999995E-3</v>
      </c>
      <c r="J389">
        <v>0</v>
      </c>
      <c r="K389">
        <v>-7.0170999999999992</v>
      </c>
      <c r="L389">
        <v>9.2284976005906124E-3</v>
      </c>
      <c r="M389">
        <v>5.0000000000000001E-3</v>
      </c>
      <c r="N389">
        <v>0</v>
      </c>
      <c r="O389">
        <v>-10.9308</v>
      </c>
      <c r="P389">
        <v>3.8759689922480568E-3</v>
      </c>
      <c r="Q389">
        <v>5.3880000000000004E-3</v>
      </c>
    </row>
    <row r="390" spans="1:17" x14ac:dyDescent="0.3">
      <c r="A390">
        <v>350</v>
      </c>
      <c r="B390">
        <v>0.60066666666666668</v>
      </c>
      <c r="C390">
        <v>0.6505333333333333</v>
      </c>
      <c r="D390">
        <v>0.59735973597359704</v>
      </c>
      <c r="E390">
        <v>0.31688100000000002</v>
      </c>
      <c r="F390">
        <v>1.6666666666666668E-3</v>
      </c>
      <c r="G390">
        <v>-1.5182333333333331</v>
      </c>
      <c r="H390">
        <v>1.2161415146489723E-2</v>
      </c>
      <c r="I390">
        <v>1.0251333333333333E-2</v>
      </c>
      <c r="J390">
        <v>0</v>
      </c>
      <c r="K390">
        <v>-7.6620333333333335</v>
      </c>
      <c r="L390">
        <v>9.966777408637861E-3</v>
      </c>
      <c r="M390">
        <v>5.0000000000000001E-3</v>
      </c>
      <c r="N390">
        <v>0</v>
      </c>
      <c r="O390">
        <v>-11.067100000000002</v>
      </c>
      <c r="P390">
        <v>2.7131782945736364E-3</v>
      </c>
      <c r="Q390">
        <v>5.7749999999999998E-3</v>
      </c>
    </row>
    <row r="391" spans="1:17" x14ac:dyDescent="0.3">
      <c r="A391">
        <v>355</v>
      </c>
      <c r="B391">
        <v>0.62733333333333341</v>
      </c>
      <c r="C391">
        <v>0.68346666666666656</v>
      </c>
      <c r="D391">
        <v>0.61276127612761266</v>
      </c>
      <c r="E391">
        <v>0.34218366666666666</v>
      </c>
      <c r="F391">
        <v>1.6666666666666668E-3</v>
      </c>
      <c r="G391">
        <v>-1.7450000000000001</v>
      </c>
      <c r="H391">
        <v>1.2990602542841305E-2</v>
      </c>
      <c r="I391">
        <v>1.0251333333333333E-2</v>
      </c>
      <c r="J391">
        <v>0</v>
      </c>
      <c r="K391">
        <v>-7.3860000000000001</v>
      </c>
      <c r="L391">
        <v>1.0335917312661473E-2</v>
      </c>
      <c r="M391">
        <v>5.0000000000000001E-3</v>
      </c>
      <c r="N391">
        <v>0</v>
      </c>
      <c r="O391">
        <v>-11.043699999999999</v>
      </c>
      <c r="P391">
        <v>3.4883720930232501E-3</v>
      </c>
      <c r="Q391">
        <v>5.3880000000000004E-3</v>
      </c>
    </row>
    <row r="392" spans="1:17" x14ac:dyDescent="0.3">
      <c r="A392">
        <v>360</v>
      </c>
      <c r="B392">
        <v>0.63400000000000001</v>
      </c>
      <c r="C392">
        <v>0.72206666666666663</v>
      </c>
      <c r="D392">
        <v>0.61936193619361901</v>
      </c>
      <c r="E392">
        <v>0.3498843333333333</v>
      </c>
      <c r="F392">
        <v>3.3333333333333335E-3</v>
      </c>
      <c r="G392">
        <v>-1.6439666666666666</v>
      </c>
      <c r="H392">
        <v>1.188501934770589E-2</v>
      </c>
      <c r="I392">
        <v>9.9749999999999995E-3</v>
      </c>
      <c r="J392">
        <v>0</v>
      </c>
      <c r="K392">
        <v>-7.6494999999999997</v>
      </c>
      <c r="L392">
        <v>1.0705057216685099E-2</v>
      </c>
      <c r="M392">
        <v>5.1846666666666673E-3</v>
      </c>
      <c r="N392">
        <v>0</v>
      </c>
      <c r="O392">
        <v>-10.997400000000001</v>
      </c>
      <c r="P392">
        <v>3.3591731266149802E-3</v>
      </c>
      <c r="Q392">
        <v>6.1629999999999992E-3</v>
      </c>
    </row>
    <row r="393" spans="1:17" x14ac:dyDescent="0.3">
      <c r="A393">
        <v>365</v>
      </c>
      <c r="B393">
        <v>0.66300000000000003</v>
      </c>
      <c r="C393">
        <v>0.59330000000000005</v>
      </c>
      <c r="D393">
        <v>0.6540154015401537</v>
      </c>
      <c r="E393">
        <v>0.39718933333333334</v>
      </c>
      <c r="F393">
        <v>6.6666666666666671E-3</v>
      </c>
      <c r="G393">
        <v>-1.5694333333333332</v>
      </c>
      <c r="H393">
        <v>1.6583747927031475E-2</v>
      </c>
      <c r="I393">
        <v>1.7161666666666665E-2</v>
      </c>
      <c r="J393">
        <v>0</v>
      </c>
      <c r="K393">
        <v>-8.0532666666666675</v>
      </c>
      <c r="L393">
        <v>8.3056478405315569E-3</v>
      </c>
      <c r="M393">
        <v>5.0000000000000001E-3</v>
      </c>
      <c r="N393">
        <v>0</v>
      </c>
      <c r="O393">
        <v>-11.2906</v>
      </c>
      <c r="P393">
        <v>2.8423772609819063E-3</v>
      </c>
      <c r="Q393">
        <v>5.0000000000000001E-3</v>
      </c>
    </row>
    <row r="394" spans="1:17" x14ac:dyDescent="0.3">
      <c r="A394">
        <v>370</v>
      </c>
      <c r="B394">
        <v>0.67633333333333334</v>
      </c>
      <c r="C394">
        <v>0.75673333333333337</v>
      </c>
      <c r="D394">
        <v>0.66446644664466403</v>
      </c>
      <c r="E394">
        <v>0.36418599999999995</v>
      </c>
      <c r="F394">
        <v>8.3333333333333332E-3</v>
      </c>
      <c r="G394">
        <v>-1.5282666666666669</v>
      </c>
      <c r="H394">
        <v>1.6030956329463764E-2</v>
      </c>
      <c r="I394">
        <v>1.4397333333333331E-2</v>
      </c>
      <c r="J394">
        <v>0</v>
      </c>
      <c r="K394">
        <v>-8.1389666666666667</v>
      </c>
      <c r="L394">
        <v>7.7519379844961196E-3</v>
      </c>
      <c r="M394">
        <v>5.0000000000000001E-3</v>
      </c>
      <c r="N394">
        <v>0</v>
      </c>
      <c r="O394">
        <v>-11.3476</v>
      </c>
      <c r="P394">
        <v>2.1963824289405669E-3</v>
      </c>
      <c r="Q394">
        <v>5.7749999999999998E-3</v>
      </c>
    </row>
    <row r="395" spans="1:17" x14ac:dyDescent="0.3">
      <c r="A395">
        <v>375</v>
      </c>
      <c r="B395">
        <v>0.68633333333333335</v>
      </c>
      <c r="C395">
        <v>0.78433333333333322</v>
      </c>
      <c r="D395">
        <v>0.67656765676567632</v>
      </c>
      <c r="E395">
        <v>0.42689200000000005</v>
      </c>
      <c r="F395">
        <v>0.01</v>
      </c>
      <c r="G395">
        <v>-1.4903666666666666</v>
      </c>
      <c r="H395">
        <v>1.6860143725815332E-2</v>
      </c>
      <c r="I395">
        <v>2.1583666666666668E-2</v>
      </c>
      <c r="J395">
        <v>0</v>
      </c>
      <c r="K395">
        <v>-8.1815000000000015</v>
      </c>
      <c r="L395">
        <v>7.5673680324843074E-3</v>
      </c>
      <c r="M395">
        <v>5.0000000000000001E-3</v>
      </c>
      <c r="N395">
        <v>0</v>
      </c>
      <c r="O395">
        <v>-11.560899999999998</v>
      </c>
      <c r="P395">
        <v>2.5839793281653665E-3</v>
      </c>
      <c r="Q395">
        <v>5.3880000000000004E-3</v>
      </c>
    </row>
    <row r="396" spans="1:17" x14ac:dyDescent="0.3">
      <c r="A396">
        <v>380</v>
      </c>
      <c r="B396">
        <v>0.70299999999999996</v>
      </c>
      <c r="C396">
        <v>0.66433333333333333</v>
      </c>
      <c r="D396">
        <v>0.69361936193619333</v>
      </c>
      <c r="E396">
        <v>0.37628700000000004</v>
      </c>
      <c r="F396">
        <v>1.6666666666666666E-2</v>
      </c>
      <c r="G396">
        <v>-1.3146666666666667</v>
      </c>
      <c r="H396">
        <v>1.9900497512437765E-2</v>
      </c>
      <c r="I396">
        <v>1.5502999999999998E-2</v>
      </c>
      <c r="J396">
        <v>0</v>
      </c>
      <c r="K396">
        <v>-8.2379333333333324</v>
      </c>
      <c r="L396">
        <v>1.015134736064967E-2</v>
      </c>
      <c r="M396">
        <v>5.0000000000000001E-3</v>
      </c>
      <c r="N396">
        <v>0</v>
      </c>
      <c r="O396">
        <v>-11.9276</v>
      </c>
      <c r="P396">
        <v>2.4547803617571001E-3</v>
      </c>
      <c r="Q396">
        <v>5.3880000000000004E-3</v>
      </c>
    </row>
    <row r="399" spans="1:17" x14ac:dyDescent="0.3">
      <c r="A399" t="s">
        <v>85</v>
      </c>
      <c r="B399" t="s">
        <v>97</v>
      </c>
      <c r="C399" t="s">
        <v>99</v>
      </c>
      <c r="D399" t="s">
        <v>100</v>
      </c>
      <c r="E399" t="s">
        <v>106</v>
      </c>
      <c r="F399" t="s">
        <v>108</v>
      </c>
      <c r="G399" t="s">
        <v>109</v>
      </c>
      <c r="H399" t="s">
        <v>113</v>
      </c>
      <c r="I399" t="s">
        <v>115</v>
      </c>
      <c r="J399" t="s">
        <v>116</v>
      </c>
      <c r="K399" t="s">
        <v>120</v>
      </c>
      <c r="L399" t="s">
        <v>122</v>
      </c>
      <c r="M399" t="s">
        <v>123</v>
      </c>
    </row>
    <row r="400" spans="1:17" x14ac:dyDescent="0.3">
      <c r="A400">
        <v>10</v>
      </c>
      <c r="B400">
        <v>2.6666666666666668E-2</v>
      </c>
      <c r="C400">
        <v>0.158415841584158</v>
      </c>
      <c r="D400">
        <v>2.2601333333333334E-2</v>
      </c>
      <c r="E400">
        <v>1.4999999999999999E-2</v>
      </c>
      <c r="F400">
        <v>0.13515754560530638</v>
      </c>
      <c r="G400">
        <v>3.1257333333333331E-2</v>
      </c>
      <c r="H400">
        <v>2.1000000000000001E-2</v>
      </c>
      <c r="I400">
        <v>0.10114433370247296</v>
      </c>
      <c r="J400">
        <v>4.7451E-2</v>
      </c>
      <c r="K400">
        <v>4.9000000000000009E-2</v>
      </c>
      <c r="L400">
        <v>8.6046511627906927E-2</v>
      </c>
      <c r="M400">
        <v>7.3992000000000002E-2</v>
      </c>
    </row>
    <row r="401" spans="1:13" x14ac:dyDescent="0.3">
      <c r="A401">
        <v>15</v>
      </c>
      <c r="B401">
        <v>2.3333333333333334E-2</v>
      </c>
      <c r="C401">
        <v>0.24587458745874535</v>
      </c>
      <c r="D401">
        <v>2.3735000000000003E-2</v>
      </c>
      <c r="E401">
        <v>8.3333333333333332E-3</v>
      </c>
      <c r="F401">
        <v>0.1793808734107237</v>
      </c>
      <c r="G401">
        <v>2.9599333333333328E-2</v>
      </c>
      <c r="H401">
        <v>6.6666666666666671E-3</v>
      </c>
      <c r="I401">
        <v>9.5607235142118566E-2</v>
      </c>
      <c r="J401">
        <v>3.2685666666666668E-2</v>
      </c>
      <c r="K401">
        <v>2.8000000000000001E-2</v>
      </c>
      <c r="L401">
        <v>9.8578811369508926E-2</v>
      </c>
      <c r="M401">
        <v>7.2054000000000007E-2</v>
      </c>
    </row>
    <row r="402" spans="1:13" x14ac:dyDescent="0.3">
      <c r="A402">
        <v>20</v>
      </c>
      <c r="B402">
        <v>1.6666666666666666E-2</v>
      </c>
      <c r="C402">
        <v>0.27722772277227664</v>
      </c>
      <c r="D402">
        <v>1.4900999999999999E-2</v>
      </c>
      <c r="E402">
        <v>3.833333333333333E-2</v>
      </c>
      <c r="F402">
        <v>0.22443338861249265</v>
      </c>
      <c r="G402">
        <v>3.7891333333333332E-2</v>
      </c>
      <c r="H402">
        <v>3.5666666666666666E-2</v>
      </c>
      <c r="I402">
        <v>0.14156515319305965</v>
      </c>
      <c r="J402">
        <v>4.4313333333333337E-2</v>
      </c>
      <c r="K402">
        <v>2.8000000000000001E-2</v>
      </c>
      <c r="L402">
        <v>0.11653746770025768</v>
      </c>
      <c r="M402">
        <v>6.7403000000000005E-2</v>
      </c>
    </row>
    <row r="403" spans="1:13" x14ac:dyDescent="0.3">
      <c r="A403">
        <v>25</v>
      </c>
      <c r="B403">
        <v>6.6666666666666671E-3</v>
      </c>
      <c r="C403">
        <v>0.22222222222222165</v>
      </c>
      <c r="D403">
        <v>1.1600666666666667E-2</v>
      </c>
      <c r="E403">
        <v>2.8333333333333335E-2</v>
      </c>
      <c r="F403">
        <v>0.22001105583195102</v>
      </c>
      <c r="G403">
        <v>3.4574333333333339E-2</v>
      </c>
      <c r="H403">
        <v>2.1000000000000001E-2</v>
      </c>
      <c r="I403">
        <v>0.16814322628276032</v>
      </c>
      <c r="J403">
        <v>3.6930333333333336E-2</v>
      </c>
      <c r="K403">
        <v>2.5999999999999999E-2</v>
      </c>
      <c r="L403">
        <v>0.13643410852713134</v>
      </c>
      <c r="M403">
        <v>6.0814E-2</v>
      </c>
    </row>
    <row r="404" spans="1:13" x14ac:dyDescent="0.3">
      <c r="A404">
        <v>30</v>
      </c>
      <c r="B404">
        <v>0.01</v>
      </c>
      <c r="C404">
        <v>0.16226622662266199</v>
      </c>
      <c r="D404">
        <v>1.8201333333333333E-2</v>
      </c>
      <c r="E404">
        <v>1.4999999999999999E-2</v>
      </c>
      <c r="F404">
        <v>0.19817578772802602</v>
      </c>
      <c r="G404">
        <v>3.6508999999999993E-2</v>
      </c>
      <c r="H404">
        <v>0.02</v>
      </c>
      <c r="I404">
        <v>0.15485418973790999</v>
      </c>
      <c r="J404">
        <v>3.7668666666666663E-2</v>
      </c>
      <c r="K404">
        <v>2.1000000000000001E-2</v>
      </c>
      <c r="L404">
        <v>0.145994832041343</v>
      </c>
      <c r="M404">
        <v>5.8488000000000005E-2</v>
      </c>
    </row>
    <row r="405" spans="1:13" x14ac:dyDescent="0.3">
      <c r="A405">
        <v>35</v>
      </c>
      <c r="B405">
        <v>3.3333333333333335E-3</v>
      </c>
      <c r="C405">
        <v>8.4158415841583831E-2</v>
      </c>
      <c r="D405">
        <v>1.1050666666666667E-2</v>
      </c>
      <c r="E405">
        <v>0.01</v>
      </c>
      <c r="F405">
        <v>0.20563847429519033</v>
      </c>
      <c r="G405">
        <v>3.6509E-2</v>
      </c>
      <c r="H405">
        <v>1.7666666666666667E-2</v>
      </c>
      <c r="I405">
        <v>0.16537467700258368</v>
      </c>
      <c r="J405">
        <v>3.1577666666666671E-2</v>
      </c>
      <c r="K405">
        <v>1.2000000000000002E-2</v>
      </c>
      <c r="L405">
        <v>0.14315245478036134</v>
      </c>
      <c r="M405">
        <v>5.5E-2</v>
      </c>
    </row>
    <row r="406" spans="1:13" x14ac:dyDescent="0.3">
      <c r="A406">
        <v>40</v>
      </c>
      <c r="B406">
        <v>3.3333333333333335E-3</v>
      </c>
      <c r="C406">
        <v>9.8459845984598129E-2</v>
      </c>
      <c r="D406">
        <v>1.4350666666666664E-2</v>
      </c>
      <c r="E406">
        <v>1.1666666666666667E-2</v>
      </c>
      <c r="F406">
        <v>0.17330016583747868</v>
      </c>
      <c r="G406">
        <v>3.6232333333333332E-2</v>
      </c>
      <c r="H406">
        <v>1.5666666666666666E-2</v>
      </c>
      <c r="I406">
        <v>0.15706902916205201</v>
      </c>
      <c r="J406">
        <v>3.0285999999999997E-2</v>
      </c>
      <c r="K406">
        <v>1.6E-2</v>
      </c>
      <c r="L406">
        <v>0.13501291989664035</v>
      </c>
      <c r="M406">
        <v>5.9264000000000004E-2</v>
      </c>
    </row>
    <row r="407" spans="1:13" x14ac:dyDescent="0.3">
      <c r="A407">
        <v>45</v>
      </c>
      <c r="B407">
        <v>0</v>
      </c>
      <c r="C407">
        <v>5.8855885588558837E-2</v>
      </c>
      <c r="D407">
        <v>9.4003333333333335E-3</v>
      </c>
      <c r="E407">
        <v>1.3333333333333334E-2</v>
      </c>
      <c r="F407">
        <v>0.18435599778883302</v>
      </c>
      <c r="G407">
        <v>3.0151999999999998E-2</v>
      </c>
      <c r="H407">
        <v>1.6666666666666666E-2</v>
      </c>
      <c r="I407">
        <v>0.15356220007382768</v>
      </c>
      <c r="J407">
        <v>3.3423666666666664E-2</v>
      </c>
      <c r="K407">
        <v>1.9E-2</v>
      </c>
      <c r="L407">
        <v>0.121963824289405</v>
      </c>
      <c r="M407">
        <v>5.655000000000001E-2</v>
      </c>
    </row>
    <row r="408" spans="1:13" x14ac:dyDescent="0.3">
      <c r="A408">
        <v>50</v>
      </c>
      <c r="B408">
        <v>0</v>
      </c>
      <c r="C408">
        <v>3.9053905390539038E-2</v>
      </c>
      <c r="D408">
        <v>8.3000000000000001E-3</v>
      </c>
      <c r="E408">
        <v>0.01</v>
      </c>
      <c r="F408">
        <v>0.17412935323383069</v>
      </c>
      <c r="G408">
        <v>2.6006000000000001E-2</v>
      </c>
      <c r="H408">
        <v>2.3666666666666666E-2</v>
      </c>
      <c r="I408">
        <v>0.16925064599483133</v>
      </c>
      <c r="J408">
        <v>3.3423666666666664E-2</v>
      </c>
      <c r="K408">
        <v>2.3000000000000003E-2</v>
      </c>
      <c r="L408">
        <v>0.11111111111111056</v>
      </c>
      <c r="M408">
        <v>4.9960999999999998E-2</v>
      </c>
    </row>
    <row r="409" spans="1:13" x14ac:dyDescent="0.3">
      <c r="A409">
        <v>55</v>
      </c>
      <c r="B409">
        <v>0</v>
      </c>
      <c r="C409">
        <v>3.5203520352035167E-2</v>
      </c>
      <c r="D409">
        <v>5.5499999999999994E-3</v>
      </c>
      <c r="E409">
        <v>5.0000000000000001E-3</v>
      </c>
      <c r="F409">
        <v>9.6738529574350238E-2</v>
      </c>
      <c r="G409">
        <v>2.3242333333333334E-2</v>
      </c>
      <c r="H409">
        <v>1.8666666666666668E-2</v>
      </c>
      <c r="I409">
        <v>0.146179401993355</v>
      </c>
      <c r="J409">
        <v>3.3423666666666664E-2</v>
      </c>
      <c r="K409">
        <v>2.5999999999999999E-2</v>
      </c>
      <c r="L409">
        <v>0.11214470284237665</v>
      </c>
      <c r="M409">
        <v>5.3061999999999998E-2</v>
      </c>
    </row>
    <row r="410" spans="1:13" x14ac:dyDescent="0.3">
      <c r="A410">
        <v>60</v>
      </c>
      <c r="B410">
        <v>0</v>
      </c>
      <c r="C410">
        <v>2.9152915291529136E-2</v>
      </c>
      <c r="D410">
        <v>7.7499999999999999E-3</v>
      </c>
      <c r="E410">
        <v>1.6666666666666668E-3</v>
      </c>
      <c r="F410">
        <v>8.706467661691536E-2</v>
      </c>
      <c r="G410">
        <v>2.1307333333333334E-2</v>
      </c>
      <c r="H410">
        <v>1.4666666666666668E-2</v>
      </c>
      <c r="I410">
        <v>0.14857881136950835</v>
      </c>
      <c r="J410">
        <v>3.0470999999999998E-2</v>
      </c>
      <c r="K410">
        <v>1.9E-2</v>
      </c>
      <c r="L410">
        <v>0.11098191214470234</v>
      </c>
      <c r="M410">
        <v>5.1124000000000003E-2</v>
      </c>
    </row>
    <row r="411" spans="1:13" x14ac:dyDescent="0.3">
      <c r="A411">
        <v>65</v>
      </c>
      <c r="B411">
        <v>0</v>
      </c>
      <c r="C411">
        <v>1.5951595159515931E-2</v>
      </c>
      <c r="D411">
        <v>5.0000000000000001E-3</v>
      </c>
      <c r="E411">
        <v>3.3333333333333335E-3</v>
      </c>
      <c r="F411">
        <v>6.440022111663897E-2</v>
      </c>
      <c r="G411">
        <v>2.1030666666666666E-2</v>
      </c>
      <c r="H411">
        <v>1.6666666666666666E-2</v>
      </c>
      <c r="I411">
        <v>0.14747139165743803</v>
      </c>
      <c r="J411">
        <v>2.6963999999999998E-2</v>
      </c>
      <c r="K411">
        <v>1.9E-2</v>
      </c>
      <c r="L411">
        <v>0.117571059431524</v>
      </c>
      <c r="M411">
        <v>4.3372000000000001E-2</v>
      </c>
    </row>
    <row r="412" spans="1:13" x14ac:dyDescent="0.3">
      <c r="A412">
        <v>70</v>
      </c>
      <c r="B412">
        <v>0</v>
      </c>
      <c r="C412">
        <v>1.1001100110010967E-2</v>
      </c>
      <c r="D412">
        <v>5.5500000000000002E-3</v>
      </c>
      <c r="E412">
        <v>1.6666666666666668E-3</v>
      </c>
      <c r="F412">
        <v>6.357103372028744E-2</v>
      </c>
      <c r="G412">
        <v>2.0478333333333334E-2</v>
      </c>
      <c r="H412">
        <v>1.1000000000000001E-2</v>
      </c>
      <c r="I412">
        <v>0.14027316352897667</v>
      </c>
      <c r="J412">
        <v>2.8624666666666663E-2</v>
      </c>
      <c r="K412">
        <v>2.3000000000000003E-2</v>
      </c>
      <c r="L412">
        <v>0.11899224806201499</v>
      </c>
      <c r="M412">
        <v>4.4146999999999999E-2</v>
      </c>
    </row>
    <row r="413" spans="1:13" x14ac:dyDescent="0.3">
      <c r="A413">
        <v>75</v>
      </c>
      <c r="B413">
        <v>0</v>
      </c>
      <c r="C413">
        <v>1.1551155115511533E-2</v>
      </c>
      <c r="D413">
        <v>5.0000000000000001E-3</v>
      </c>
      <c r="E413">
        <v>1.6666666666666668E-3</v>
      </c>
      <c r="F413">
        <v>5.4449972360420096E-2</v>
      </c>
      <c r="G413">
        <v>1.9372333333333335E-2</v>
      </c>
      <c r="H413">
        <v>7.6666666666666662E-3</v>
      </c>
      <c r="I413">
        <v>0.12882982650424499</v>
      </c>
      <c r="J413">
        <v>2.5118000000000001E-2</v>
      </c>
      <c r="K413">
        <v>1.9E-2</v>
      </c>
      <c r="L413">
        <v>9.6899224806201459E-2</v>
      </c>
      <c r="M413">
        <v>4.1047E-2</v>
      </c>
    </row>
    <row r="414" spans="1:13" x14ac:dyDescent="0.3">
      <c r="A414">
        <v>80</v>
      </c>
      <c r="B414">
        <v>0</v>
      </c>
      <c r="C414">
        <v>6.0506050605060495E-3</v>
      </c>
      <c r="D414">
        <v>5.0000000000000001E-3</v>
      </c>
      <c r="E414">
        <v>1.6666666666666668E-3</v>
      </c>
      <c r="F414">
        <v>4.063018242122713E-2</v>
      </c>
      <c r="G414">
        <v>1.7161333333333331E-2</v>
      </c>
      <c r="H414">
        <v>5.6666666666666671E-3</v>
      </c>
      <c r="I414">
        <v>0.11609449981542934</v>
      </c>
      <c r="J414">
        <v>2.3826E-2</v>
      </c>
      <c r="K414">
        <v>2.1000000000000001E-2</v>
      </c>
      <c r="L414">
        <v>9.6770025839793231E-2</v>
      </c>
      <c r="M414">
        <v>3.8720999999999998E-2</v>
      </c>
    </row>
    <row r="415" spans="1:13" x14ac:dyDescent="0.3">
      <c r="A415">
        <v>85</v>
      </c>
      <c r="B415">
        <v>0</v>
      </c>
      <c r="C415">
        <v>2.75027502750275E-3</v>
      </c>
      <c r="D415">
        <v>5.0000000000000001E-3</v>
      </c>
      <c r="E415">
        <v>0</v>
      </c>
      <c r="F415">
        <v>4.0353786622443301E-2</v>
      </c>
      <c r="G415">
        <v>1.5779333333333333E-2</v>
      </c>
      <c r="H415">
        <v>1E-3</v>
      </c>
      <c r="I415">
        <v>0.12550756736803201</v>
      </c>
      <c r="J415">
        <v>1.9581333333333333E-2</v>
      </c>
      <c r="K415">
        <v>1.9E-2</v>
      </c>
      <c r="L415">
        <v>9.1214470284237667E-2</v>
      </c>
      <c r="M415">
        <v>3.6007999999999998E-2</v>
      </c>
    </row>
    <row r="416" spans="1:13" x14ac:dyDescent="0.3">
      <c r="A416">
        <v>90</v>
      </c>
      <c r="B416">
        <v>0</v>
      </c>
      <c r="C416">
        <v>1.65016501650165E-3</v>
      </c>
      <c r="D416">
        <v>5.0000000000000001E-3</v>
      </c>
      <c r="E416">
        <v>0</v>
      </c>
      <c r="F416">
        <v>3.7313432835820837E-2</v>
      </c>
      <c r="G416">
        <v>1.1909666666666667E-2</v>
      </c>
      <c r="H416">
        <v>1E-3</v>
      </c>
      <c r="I416">
        <v>0.11923218899963067</v>
      </c>
      <c r="J416">
        <v>1.8842666666666667E-2</v>
      </c>
      <c r="K416">
        <v>1.6E-2</v>
      </c>
      <c r="L416">
        <v>8.3720930232558124E-2</v>
      </c>
      <c r="M416">
        <v>3.6783000000000003E-2</v>
      </c>
    </row>
    <row r="417" spans="1:13" x14ac:dyDescent="0.3">
      <c r="A417">
        <v>95</v>
      </c>
      <c r="B417">
        <v>0</v>
      </c>
      <c r="C417">
        <v>1.1001100110011001E-3</v>
      </c>
      <c r="D417">
        <v>5.0000000000000001E-3</v>
      </c>
      <c r="E417">
        <v>0</v>
      </c>
      <c r="F417">
        <v>2.7915975677169663E-2</v>
      </c>
      <c r="G417">
        <v>1.3567999999999998E-2</v>
      </c>
      <c r="H417">
        <v>3.3333333333333335E-3</v>
      </c>
      <c r="I417">
        <v>0.11498708010335905</v>
      </c>
      <c r="J417">
        <v>1.8104666666666668E-2</v>
      </c>
      <c r="K417">
        <v>1.4E-2</v>
      </c>
      <c r="L417">
        <v>7.7260981912144658E-2</v>
      </c>
      <c r="M417">
        <v>3.2132000000000001E-2</v>
      </c>
    </row>
    <row r="418" spans="1:13" x14ac:dyDescent="0.3">
      <c r="A418">
        <v>100</v>
      </c>
      <c r="B418">
        <v>0</v>
      </c>
      <c r="C418">
        <v>5.5005500550055003E-4</v>
      </c>
      <c r="D418">
        <v>5.0000000000000001E-3</v>
      </c>
      <c r="E418">
        <v>0</v>
      </c>
      <c r="F418">
        <v>2.8468767274737367E-2</v>
      </c>
      <c r="G418">
        <v>1.3568000000000002E-2</v>
      </c>
      <c r="H418">
        <v>1E-3</v>
      </c>
      <c r="I418">
        <v>0.11720191952750066</v>
      </c>
      <c r="J418">
        <v>1.7919666666666667E-2</v>
      </c>
      <c r="K418">
        <v>1.4E-2</v>
      </c>
      <c r="L418">
        <v>7.97157622739018E-2</v>
      </c>
      <c r="M418">
        <v>3.2518999999999999E-2</v>
      </c>
    </row>
    <row r="419" spans="1:13" x14ac:dyDescent="0.3">
      <c r="A419">
        <v>105</v>
      </c>
      <c r="B419">
        <v>0</v>
      </c>
      <c r="C419">
        <v>0</v>
      </c>
      <c r="D419">
        <v>5.0000000000000001E-3</v>
      </c>
      <c r="E419">
        <v>0</v>
      </c>
      <c r="F419">
        <v>2.0176893311221633E-2</v>
      </c>
      <c r="G419">
        <v>9.6986666666666662E-3</v>
      </c>
      <c r="H419">
        <v>1E-3</v>
      </c>
      <c r="I419">
        <v>9.5238095238094969E-2</v>
      </c>
      <c r="J419">
        <v>1.5889666666666667E-2</v>
      </c>
      <c r="K419">
        <v>1.4E-2</v>
      </c>
      <c r="L419">
        <v>6.8733850129198901E-2</v>
      </c>
      <c r="M419">
        <v>3.0581000000000001E-2</v>
      </c>
    </row>
    <row r="420" spans="1:13" x14ac:dyDescent="0.3">
      <c r="A420">
        <v>110</v>
      </c>
      <c r="B420">
        <v>0</v>
      </c>
      <c r="C420">
        <v>0</v>
      </c>
      <c r="D420">
        <v>5.0000000000000001E-3</v>
      </c>
      <c r="E420">
        <v>0</v>
      </c>
      <c r="F420">
        <v>2.0453289110005466E-2</v>
      </c>
      <c r="G420">
        <v>1.0251333333333333E-2</v>
      </c>
      <c r="H420">
        <v>1E-3</v>
      </c>
      <c r="I420">
        <v>0.10354374307862674</v>
      </c>
      <c r="J420">
        <v>1.6258666666666668E-2</v>
      </c>
      <c r="K420">
        <v>1.2000000000000002E-2</v>
      </c>
      <c r="L420">
        <v>6.0077519379844901E-2</v>
      </c>
      <c r="M420">
        <v>3.1744000000000001E-2</v>
      </c>
    </row>
    <row r="421" spans="1:13" x14ac:dyDescent="0.3">
      <c r="A421">
        <v>115</v>
      </c>
      <c r="B421">
        <v>0</v>
      </c>
      <c r="C421">
        <v>0</v>
      </c>
      <c r="D421">
        <v>5.0000000000000001E-3</v>
      </c>
      <c r="E421">
        <v>0</v>
      </c>
      <c r="F421">
        <v>2.0453289110005466E-2</v>
      </c>
      <c r="G421">
        <v>1.0803999999999999E-2</v>
      </c>
      <c r="H421">
        <v>1E-3</v>
      </c>
      <c r="I421">
        <v>9.2838685861941286E-2</v>
      </c>
      <c r="J421">
        <v>1.5336000000000001E-2</v>
      </c>
      <c r="K421">
        <v>8.9999999999999993E-3</v>
      </c>
      <c r="L421">
        <v>6.3049095607235095E-2</v>
      </c>
      <c r="M421">
        <v>2.7092999999999996E-2</v>
      </c>
    </row>
    <row r="422" spans="1:13" x14ac:dyDescent="0.3">
      <c r="A422">
        <v>120</v>
      </c>
      <c r="B422">
        <v>0</v>
      </c>
      <c r="C422">
        <v>0</v>
      </c>
      <c r="D422">
        <v>5.0000000000000001E-3</v>
      </c>
      <c r="E422">
        <v>0</v>
      </c>
      <c r="F422">
        <v>1.6583747927031465E-2</v>
      </c>
      <c r="G422">
        <v>8.8693333333333332E-3</v>
      </c>
      <c r="H422">
        <v>1E-3</v>
      </c>
      <c r="I422">
        <v>9.6345514950166078E-2</v>
      </c>
      <c r="J422">
        <v>1.3305666666666667E-2</v>
      </c>
      <c r="K422">
        <v>8.9999999999999993E-3</v>
      </c>
      <c r="L422">
        <v>6.2015503875968964E-2</v>
      </c>
      <c r="M422">
        <v>2.5929999999999998E-2</v>
      </c>
    </row>
    <row r="423" spans="1:13" x14ac:dyDescent="0.3">
      <c r="A423">
        <v>125</v>
      </c>
      <c r="B423">
        <v>0</v>
      </c>
      <c r="C423">
        <v>0</v>
      </c>
      <c r="D423">
        <v>5.0000000000000001E-3</v>
      </c>
      <c r="E423">
        <v>0</v>
      </c>
      <c r="F423">
        <v>1.4372581536760598E-2</v>
      </c>
      <c r="G423">
        <v>9.1459999999999996E-3</v>
      </c>
      <c r="H423">
        <v>0</v>
      </c>
      <c r="I423">
        <v>8.1949058693244703E-2</v>
      </c>
      <c r="J423">
        <v>1.1459666666666667E-2</v>
      </c>
      <c r="K423">
        <v>7.0000000000000001E-3</v>
      </c>
      <c r="L423">
        <v>5.4134366925064535E-2</v>
      </c>
      <c r="M423">
        <v>2.3991999999999999E-2</v>
      </c>
    </row>
    <row r="424" spans="1:13" x14ac:dyDescent="0.3">
      <c r="A424">
        <v>130</v>
      </c>
      <c r="B424">
        <v>0</v>
      </c>
      <c r="C424">
        <v>0</v>
      </c>
      <c r="D424">
        <v>5.0000000000000001E-3</v>
      </c>
      <c r="E424">
        <v>0</v>
      </c>
      <c r="F424">
        <v>1.2714206744057448E-2</v>
      </c>
      <c r="G424">
        <v>8.5929999999999982E-3</v>
      </c>
      <c r="H424">
        <v>0</v>
      </c>
      <c r="I424">
        <v>7.9734219269102971E-2</v>
      </c>
      <c r="J424">
        <v>1.2567333333333333E-2</v>
      </c>
      <c r="K424">
        <v>5.0000000000000001E-3</v>
      </c>
      <c r="L424">
        <v>5.180878552971574E-2</v>
      </c>
      <c r="M424">
        <v>2.0504000000000001E-2</v>
      </c>
    </row>
    <row r="425" spans="1:13" x14ac:dyDescent="0.3">
      <c r="A425">
        <v>135</v>
      </c>
      <c r="B425">
        <v>0</v>
      </c>
      <c r="C425">
        <v>0</v>
      </c>
      <c r="D425">
        <v>5.0000000000000001E-3</v>
      </c>
      <c r="E425">
        <v>0</v>
      </c>
      <c r="F425">
        <v>1.1885019347705868E-2</v>
      </c>
      <c r="G425">
        <v>7.7640000000000001E-3</v>
      </c>
      <c r="H425">
        <v>0</v>
      </c>
      <c r="I425">
        <v>8.1210778885197468E-2</v>
      </c>
      <c r="J425">
        <v>1.2013666666666667E-2</v>
      </c>
      <c r="K425">
        <v>5.0000000000000001E-3</v>
      </c>
      <c r="L425">
        <v>4.8837209302325525E-2</v>
      </c>
      <c r="M425">
        <v>2.2442E-2</v>
      </c>
    </row>
    <row r="426" spans="1:13" x14ac:dyDescent="0.3">
      <c r="A426">
        <v>140</v>
      </c>
      <c r="B426">
        <v>0</v>
      </c>
      <c r="C426">
        <v>0</v>
      </c>
      <c r="D426">
        <v>5.0000000000000001E-3</v>
      </c>
      <c r="E426">
        <v>0</v>
      </c>
      <c r="F426">
        <v>1.0779436152570444E-2</v>
      </c>
      <c r="G426">
        <v>7.4876666666666659E-3</v>
      </c>
      <c r="H426">
        <v>0</v>
      </c>
      <c r="I426">
        <v>8.0472499077150206E-2</v>
      </c>
      <c r="J426">
        <v>1.2382666666666667E-2</v>
      </c>
      <c r="K426">
        <v>5.0000000000000001E-3</v>
      </c>
      <c r="L426">
        <v>4.7416020671834563E-2</v>
      </c>
      <c r="M426">
        <v>2.3605000000000001E-2</v>
      </c>
    </row>
    <row r="427" spans="1:13" x14ac:dyDescent="0.3">
      <c r="A427">
        <v>145</v>
      </c>
      <c r="B427">
        <v>0</v>
      </c>
      <c r="C427">
        <v>0</v>
      </c>
      <c r="D427">
        <v>5.0000000000000001E-3</v>
      </c>
      <c r="E427">
        <v>0</v>
      </c>
      <c r="F427">
        <v>1.1608623548922043E-2</v>
      </c>
      <c r="G427">
        <v>7.4876666666666659E-3</v>
      </c>
      <c r="H427">
        <v>0</v>
      </c>
      <c r="I427">
        <v>7.6596530084902137E-2</v>
      </c>
      <c r="J427">
        <v>1.1090666666666665E-2</v>
      </c>
      <c r="K427">
        <v>5.0000000000000001E-3</v>
      </c>
      <c r="L427">
        <v>4.5736434108527069E-2</v>
      </c>
      <c r="M427">
        <v>1.8565999999999999E-2</v>
      </c>
    </row>
    <row r="428" spans="1:13" x14ac:dyDescent="0.3">
      <c r="A428">
        <v>150</v>
      </c>
      <c r="B428">
        <v>0</v>
      </c>
      <c r="C428">
        <v>0</v>
      </c>
      <c r="D428">
        <v>5.0000000000000001E-3</v>
      </c>
      <c r="E428">
        <v>0</v>
      </c>
      <c r="F428">
        <v>1.1332227750138139E-2</v>
      </c>
      <c r="G428">
        <v>7.4876666666666659E-3</v>
      </c>
      <c r="H428">
        <v>0</v>
      </c>
      <c r="I428">
        <v>6.1277224067921708E-2</v>
      </c>
      <c r="J428">
        <v>1.0905999999999999E-2</v>
      </c>
      <c r="K428">
        <v>5.0000000000000001E-3</v>
      </c>
      <c r="L428">
        <v>4.1860465116279034E-2</v>
      </c>
      <c r="M428">
        <v>1.8565999999999999E-2</v>
      </c>
    </row>
    <row r="429" spans="1:13" x14ac:dyDescent="0.3">
      <c r="A429">
        <v>155</v>
      </c>
      <c r="B429">
        <v>0</v>
      </c>
      <c r="C429">
        <v>5.5005500550055003E-4</v>
      </c>
      <c r="D429">
        <v>5.0000000000000001E-3</v>
      </c>
      <c r="E429">
        <v>0</v>
      </c>
      <c r="F429">
        <v>1.0503040353786583E-2</v>
      </c>
      <c r="G429">
        <v>7.2113333333333335E-3</v>
      </c>
      <c r="H429">
        <v>0</v>
      </c>
      <c r="I429">
        <v>6.25692137320044E-2</v>
      </c>
      <c r="J429">
        <v>1.0168E-2</v>
      </c>
      <c r="K429">
        <v>2E-3</v>
      </c>
      <c r="L429">
        <v>3.8372093023255768E-2</v>
      </c>
      <c r="M429">
        <v>2.0504000000000001E-2</v>
      </c>
    </row>
    <row r="430" spans="1:13" x14ac:dyDescent="0.3">
      <c r="A430">
        <v>160</v>
      </c>
      <c r="B430">
        <v>0</v>
      </c>
      <c r="C430">
        <v>0</v>
      </c>
      <c r="D430">
        <v>5.0000000000000001E-3</v>
      </c>
      <c r="E430">
        <v>0</v>
      </c>
      <c r="F430">
        <v>9.3974571586511822E-3</v>
      </c>
      <c r="G430">
        <v>7.4876666666666659E-3</v>
      </c>
      <c r="H430">
        <v>0</v>
      </c>
      <c r="I430">
        <v>5.7401255075673639E-2</v>
      </c>
      <c r="J430">
        <v>9.6143333333333341E-3</v>
      </c>
      <c r="K430">
        <v>0</v>
      </c>
      <c r="L430">
        <v>3.6175710594315173E-2</v>
      </c>
      <c r="M430">
        <v>1.7016E-2</v>
      </c>
    </row>
    <row r="431" spans="1:13" x14ac:dyDescent="0.3">
      <c r="A431">
        <v>165</v>
      </c>
      <c r="B431">
        <v>0</v>
      </c>
      <c r="C431">
        <v>1.65016501650165E-3</v>
      </c>
      <c r="D431">
        <v>5.0000000000000001E-3</v>
      </c>
      <c r="E431">
        <v>0</v>
      </c>
      <c r="F431">
        <v>9.3974571586511561E-3</v>
      </c>
      <c r="G431">
        <v>7.4876666666666659E-3</v>
      </c>
      <c r="H431">
        <v>0</v>
      </c>
      <c r="I431">
        <v>5.0018456995201133E-2</v>
      </c>
      <c r="J431">
        <v>8.6913333333333339E-3</v>
      </c>
      <c r="K431">
        <v>0</v>
      </c>
      <c r="L431">
        <v>3.74677002583979E-2</v>
      </c>
      <c r="M431">
        <v>1.6628E-2</v>
      </c>
    </row>
    <row r="432" spans="1:13" x14ac:dyDescent="0.3">
      <c r="A432">
        <v>170</v>
      </c>
      <c r="B432">
        <v>0</v>
      </c>
      <c r="C432">
        <v>5.5005500550055003E-4</v>
      </c>
      <c r="D432">
        <v>5.0000000000000001E-3</v>
      </c>
      <c r="E432">
        <v>0</v>
      </c>
      <c r="F432">
        <v>9.3974571586511822E-3</v>
      </c>
      <c r="G432">
        <v>6.9349999999999993E-3</v>
      </c>
      <c r="H432">
        <v>0</v>
      </c>
      <c r="I432">
        <v>4.9095607235142065E-2</v>
      </c>
      <c r="J432">
        <v>9.0603333333333317E-3</v>
      </c>
      <c r="K432">
        <v>0</v>
      </c>
      <c r="L432">
        <v>3.5012919896640765E-2</v>
      </c>
      <c r="M432">
        <v>1.7016E-2</v>
      </c>
    </row>
    <row r="433" spans="1:13" x14ac:dyDescent="0.3">
      <c r="A433">
        <v>175</v>
      </c>
      <c r="B433">
        <v>0</v>
      </c>
      <c r="C433">
        <v>2.2002200220022001E-3</v>
      </c>
      <c r="D433">
        <v>5.0000000000000001E-3</v>
      </c>
      <c r="E433">
        <v>0</v>
      </c>
      <c r="F433">
        <v>9.1210613598673163E-3</v>
      </c>
      <c r="G433">
        <v>6.9349999999999993E-3</v>
      </c>
      <c r="H433">
        <v>0</v>
      </c>
      <c r="I433">
        <v>5.0572166851236534E-2</v>
      </c>
      <c r="J433">
        <v>8.691666666666667E-3</v>
      </c>
      <c r="K433">
        <v>0</v>
      </c>
      <c r="L433">
        <v>3.1782945736434066E-2</v>
      </c>
      <c r="M433">
        <v>1.5465E-2</v>
      </c>
    </row>
    <row r="434" spans="1:13" x14ac:dyDescent="0.3">
      <c r="A434">
        <v>180</v>
      </c>
      <c r="B434">
        <v>0</v>
      </c>
      <c r="C434">
        <v>3.3003300330032999E-3</v>
      </c>
      <c r="D434">
        <v>5.5500000000000002E-3</v>
      </c>
      <c r="E434">
        <v>0</v>
      </c>
      <c r="F434">
        <v>8.2918739635157428E-3</v>
      </c>
      <c r="G434">
        <v>6.3816666666666666E-3</v>
      </c>
      <c r="H434">
        <v>0</v>
      </c>
      <c r="I434">
        <v>4.1712809154669565E-2</v>
      </c>
      <c r="J434">
        <v>7.7683333333333328E-3</v>
      </c>
      <c r="K434">
        <v>0</v>
      </c>
      <c r="L434">
        <v>2.8036175710594264E-2</v>
      </c>
      <c r="M434">
        <v>1.1977E-2</v>
      </c>
    </row>
    <row r="435" spans="1:13" x14ac:dyDescent="0.3">
      <c r="A435">
        <v>185</v>
      </c>
      <c r="B435">
        <v>0</v>
      </c>
      <c r="C435">
        <v>6.0506050605060495E-3</v>
      </c>
      <c r="D435">
        <v>5.5500000000000002E-3</v>
      </c>
      <c r="E435">
        <v>0</v>
      </c>
      <c r="F435">
        <v>5.8043117744610235E-3</v>
      </c>
      <c r="G435">
        <v>7.4876666666666659E-3</v>
      </c>
      <c r="H435">
        <v>0</v>
      </c>
      <c r="I435">
        <v>5.0572166851236562E-2</v>
      </c>
      <c r="J435">
        <v>9.0603333333333352E-3</v>
      </c>
      <c r="K435">
        <v>0</v>
      </c>
      <c r="L435">
        <v>2.7002583979328133E-2</v>
      </c>
      <c r="M435">
        <v>1.2364E-2</v>
      </c>
    </row>
    <row r="436" spans="1:13" x14ac:dyDescent="0.3">
      <c r="A436">
        <v>190</v>
      </c>
      <c r="B436">
        <v>0</v>
      </c>
      <c r="C436">
        <v>7.7007700770076832E-3</v>
      </c>
      <c r="D436">
        <v>5.5499999999999994E-3</v>
      </c>
      <c r="E436">
        <v>0</v>
      </c>
      <c r="F436">
        <v>6.0807075732448798E-3</v>
      </c>
      <c r="G436">
        <v>6.3819999999999997E-3</v>
      </c>
      <c r="H436">
        <v>0</v>
      </c>
      <c r="I436">
        <v>3.5252860834256133E-2</v>
      </c>
      <c r="J436">
        <v>7.953E-3</v>
      </c>
      <c r="K436">
        <v>0</v>
      </c>
      <c r="L436">
        <v>2.609819121447023E-2</v>
      </c>
      <c r="M436">
        <v>1.1589E-2</v>
      </c>
    </row>
    <row r="437" spans="1:13" x14ac:dyDescent="0.3">
      <c r="A437">
        <v>195</v>
      </c>
      <c r="B437">
        <v>0</v>
      </c>
      <c r="C437">
        <v>8.2508250825082483E-3</v>
      </c>
      <c r="D437">
        <v>6.1000000000000004E-3</v>
      </c>
      <c r="E437">
        <v>0</v>
      </c>
      <c r="F437">
        <v>7.1862907683803131E-3</v>
      </c>
      <c r="G437">
        <v>6.1053333333333333E-3</v>
      </c>
      <c r="H437">
        <v>0</v>
      </c>
      <c r="I437">
        <v>4.2266519010704995E-2</v>
      </c>
      <c r="J437">
        <v>8.3223333333333344E-3</v>
      </c>
      <c r="K437">
        <v>0</v>
      </c>
      <c r="L437">
        <v>2.2997416020671766E-2</v>
      </c>
      <c r="M437">
        <v>8.8760000000000002E-3</v>
      </c>
    </row>
    <row r="438" spans="1:13" x14ac:dyDescent="0.3">
      <c r="A438">
        <v>200</v>
      </c>
      <c r="B438">
        <v>3.3333333333333335E-3</v>
      </c>
      <c r="C438">
        <v>1.2101210121012099E-2</v>
      </c>
      <c r="D438">
        <v>1.1600666666666667E-2</v>
      </c>
      <c r="E438">
        <v>0</v>
      </c>
      <c r="F438">
        <v>6.909894969596461E-3</v>
      </c>
      <c r="G438">
        <v>5.5526666666666667E-3</v>
      </c>
      <c r="H438">
        <v>0</v>
      </c>
      <c r="I438">
        <v>4.3004798818752299E-2</v>
      </c>
      <c r="J438">
        <v>7.953E-3</v>
      </c>
      <c r="K438">
        <v>0</v>
      </c>
      <c r="L438">
        <v>2.3772609819121368E-2</v>
      </c>
      <c r="M438">
        <v>1.1201999999999998E-2</v>
      </c>
    </row>
    <row r="439" spans="1:13" x14ac:dyDescent="0.3">
      <c r="A439">
        <v>205</v>
      </c>
      <c r="B439">
        <v>1.3333333333333334E-2</v>
      </c>
      <c r="C439">
        <v>1.6501650165016483E-2</v>
      </c>
      <c r="D439">
        <v>9.4000000000000004E-3</v>
      </c>
      <c r="E439">
        <v>0</v>
      </c>
      <c r="F439">
        <v>6.357103372028744E-3</v>
      </c>
      <c r="G439">
        <v>7.7640000000000001E-3</v>
      </c>
      <c r="H439">
        <v>0</v>
      </c>
      <c r="I439">
        <v>3.4883720930232502E-2</v>
      </c>
      <c r="J439">
        <v>7.0303333333333329E-3</v>
      </c>
      <c r="K439">
        <v>0</v>
      </c>
      <c r="L439">
        <v>2.0801033591731233E-2</v>
      </c>
      <c r="M439">
        <v>1.2364E-2</v>
      </c>
    </row>
    <row r="440" spans="1:13" x14ac:dyDescent="0.3">
      <c r="A440">
        <v>210</v>
      </c>
      <c r="B440">
        <v>1.6666666666666666E-2</v>
      </c>
      <c r="C440">
        <v>2.4752475247524736E-2</v>
      </c>
      <c r="D440">
        <v>1.1050666666666667E-2</v>
      </c>
      <c r="E440">
        <v>0</v>
      </c>
      <c r="F440">
        <v>7.4626865671641564E-3</v>
      </c>
      <c r="G440">
        <v>6.6583333333333329E-3</v>
      </c>
      <c r="H440">
        <v>0</v>
      </c>
      <c r="I440">
        <v>3.7652270210409733E-2</v>
      </c>
      <c r="J440">
        <v>7.5836666666666665E-3</v>
      </c>
      <c r="K440">
        <v>0</v>
      </c>
      <c r="L440">
        <v>2.1705426356589102E-2</v>
      </c>
      <c r="M440">
        <v>1.0426E-2</v>
      </c>
    </row>
    <row r="441" spans="1:13" x14ac:dyDescent="0.3">
      <c r="A441">
        <v>215</v>
      </c>
      <c r="B441">
        <v>3.3333333333333333E-2</v>
      </c>
      <c r="C441">
        <v>3.410341034103407E-2</v>
      </c>
      <c r="D441">
        <v>1.3800666666666664E-2</v>
      </c>
      <c r="E441">
        <v>0</v>
      </c>
      <c r="F441">
        <v>5.5279159756771628E-3</v>
      </c>
      <c r="G441">
        <v>6.1053333333333333E-3</v>
      </c>
      <c r="H441">
        <v>0</v>
      </c>
      <c r="I441">
        <v>3.2115171650055299E-2</v>
      </c>
      <c r="J441">
        <v>5.1846666666666673E-3</v>
      </c>
      <c r="K441">
        <v>0</v>
      </c>
      <c r="L441">
        <v>2.00258397932816E-2</v>
      </c>
      <c r="M441">
        <v>1.0038999999999999E-2</v>
      </c>
    </row>
    <row r="442" spans="1:13" x14ac:dyDescent="0.3">
      <c r="A442">
        <v>220</v>
      </c>
      <c r="B442">
        <v>4.9666666666666671E-2</v>
      </c>
      <c r="C442">
        <v>4.1804180418041764E-2</v>
      </c>
      <c r="D442">
        <v>1.6551E-2</v>
      </c>
      <c r="E442">
        <v>0</v>
      </c>
      <c r="F442">
        <v>6.0807075732448798E-3</v>
      </c>
      <c r="G442">
        <v>6.1056666666666664E-3</v>
      </c>
      <c r="H442">
        <v>0</v>
      </c>
      <c r="I442">
        <v>2.6947212993724563E-2</v>
      </c>
      <c r="J442">
        <v>6.4766666666666662E-3</v>
      </c>
      <c r="K442">
        <v>0</v>
      </c>
      <c r="L442">
        <v>1.6666666666666597E-2</v>
      </c>
      <c r="M442">
        <v>1.0038999999999999E-2</v>
      </c>
    </row>
    <row r="443" spans="1:13" x14ac:dyDescent="0.3">
      <c r="A443">
        <v>225</v>
      </c>
      <c r="B443">
        <v>5.9333333333333328E-2</v>
      </c>
      <c r="C443">
        <v>6.3806380638063764E-2</v>
      </c>
      <c r="D443">
        <v>2.3151999999999995E-2</v>
      </c>
      <c r="E443">
        <v>0</v>
      </c>
      <c r="F443">
        <v>6.3571033720287396E-3</v>
      </c>
      <c r="G443">
        <v>6.6583333333333329E-3</v>
      </c>
      <c r="H443">
        <v>0</v>
      </c>
      <c r="I443">
        <v>3.3038021410114367E-2</v>
      </c>
      <c r="J443">
        <v>5.9226666666666664E-3</v>
      </c>
      <c r="K443">
        <v>0</v>
      </c>
      <c r="L443">
        <v>1.8217054263565832E-2</v>
      </c>
      <c r="M443">
        <v>1.0038999999999999E-2</v>
      </c>
    </row>
    <row r="444" spans="1:13" x14ac:dyDescent="0.3">
      <c r="A444">
        <v>230</v>
      </c>
      <c r="B444">
        <v>6.933333333333333E-2</v>
      </c>
      <c r="C444">
        <v>5.7755775577557733E-2</v>
      </c>
      <c r="D444">
        <v>1.8751E-2</v>
      </c>
      <c r="E444">
        <v>0</v>
      </c>
      <c r="F444">
        <v>6.6334991708125969E-3</v>
      </c>
      <c r="G444">
        <v>6.6586666666666669E-3</v>
      </c>
      <c r="H444">
        <v>0</v>
      </c>
      <c r="I444">
        <v>2.9346622369878134E-2</v>
      </c>
      <c r="J444">
        <v>6.4763333333333339E-3</v>
      </c>
      <c r="K444">
        <v>0</v>
      </c>
      <c r="L444">
        <v>1.5633074935400466E-2</v>
      </c>
      <c r="M444">
        <v>1.0038999999999999E-2</v>
      </c>
    </row>
    <row r="445" spans="1:13" x14ac:dyDescent="0.3">
      <c r="A445">
        <v>235</v>
      </c>
      <c r="B445">
        <v>8.2333333333333342E-2</v>
      </c>
      <c r="C445">
        <v>8.7458745874587421E-2</v>
      </c>
      <c r="D445">
        <v>2.0951333333333332E-2</v>
      </c>
      <c r="E445">
        <v>0</v>
      </c>
      <c r="F445">
        <v>8.0154781647318891E-3</v>
      </c>
      <c r="G445">
        <v>7.4876666666666659E-3</v>
      </c>
      <c r="H445">
        <v>0</v>
      </c>
      <c r="I445">
        <v>3.0084902177925404E-2</v>
      </c>
      <c r="J445">
        <v>6.6613333333333342E-3</v>
      </c>
      <c r="K445">
        <v>0</v>
      </c>
      <c r="L445">
        <v>1.6020671834625268E-2</v>
      </c>
      <c r="M445">
        <v>8.8760000000000002E-3</v>
      </c>
    </row>
    <row r="446" spans="1:13" x14ac:dyDescent="0.3">
      <c r="A446">
        <v>240</v>
      </c>
      <c r="B446">
        <v>0.11233333333333333</v>
      </c>
      <c r="C446">
        <v>0.11386138613861334</v>
      </c>
      <c r="D446">
        <v>4.3503666666666663E-2</v>
      </c>
      <c r="E446">
        <v>0</v>
      </c>
      <c r="F446">
        <v>6.0807075732448798E-3</v>
      </c>
      <c r="G446">
        <v>6.6583333333333329E-3</v>
      </c>
      <c r="H446">
        <v>0</v>
      </c>
      <c r="I446">
        <v>2.6208933185677297E-2</v>
      </c>
      <c r="J446">
        <v>5.738333333333334E-3</v>
      </c>
      <c r="K446">
        <v>0</v>
      </c>
      <c r="L446">
        <v>1.4470284237726068E-2</v>
      </c>
      <c r="M446">
        <v>7.7130000000000002E-3</v>
      </c>
    </row>
    <row r="447" spans="1:13" x14ac:dyDescent="0.3">
      <c r="A447">
        <v>245</v>
      </c>
      <c r="B447">
        <v>0.13566666666666669</v>
      </c>
      <c r="C447">
        <v>0.13256325632563201</v>
      </c>
      <c r="D447">
        <v>3.9103666666666669E-2</v>
      </c>
      <c r="E447">
        <v>0</v>
      </c>
      <c r="F447">
        <v>6.6334991708125969E-3</v>
      </c>
      <c r="G447">
        <v>6.1053333333333333E-3</v>
      </c>
      <c r="H447">
        <v>0</v>
      </c>
      <c r="I447">
        <v>2.4547803617571001E-2</v>
      </c>
      <c r="J447">
        <v>6.4763333333333339E-3</v>
      </c>
      <c r="K447">
        <v>0</v>
      </c>
      <c r="L447">
        <v>1.3695090439276468E-2</v>
      </c>
      <c r="M447">
        <v>8.4880000000000008E-3</v>
      </c>
    </row>
    <row r="448" spans="1:13" x14ac:dyDescent="0.3">
      <c r="A448">
        <v>250</v>
      </c>
      <c r="B448">
        <v>0.18133333333333335</v>
      </c>
      <c r="C448">
        <v>0.165566556655665</v>
      </c>
      <c r="D448">
        <v>5.7805333333333341E-2</v>
      </c>
      <c r="E448">
        <v>0</v>
      </c>
      <c r="F448">
        <v>7.1862907683803131E-3</v>
      </c>
      <c r="G448">
        <v>5.829E-3</v>
      </c>
      <c r="H448">
        <v>0</v>
      </c>
      <c r="I448">
        <v>2.3624953857511937E-2</v>
      </c>
      <c r="J448">
        <v>6.8456666666666666E-3</v>
      </c>
      <c r="K448">
        <v>0</v>
      </c>
      <c r="L448">
        <v>1.2273901808785468E-2</v>
      </c>
      <c r="M448">
        <v>7.326E-3</v>
      </c>
    </row>
    <row r="449" spans="1:13" x14ac:dyDescent="0.3">
      <c r="A449">
        <v>255</v>
      </c>
      <c r="B449">
        <v>0.19466666666666665</v>
      </c>
      <c r="C449">
        <v>0.18426842684268366</v>
      </c>
      <c r="D449">
        <v>5.3405000000000001E-2</v>
      </c>
      <c r="E449">
        <v>0</v>
      </c>
      <c r="F449">
        <v>6.0807075732448798E-3</v>
      </c>
      <c r="G449">
        <v>6.6586666666666669E-3</v>
      </c>
      <c r="H449">
        <v>0</v>
      </c>
      <c r="I449">
        <v>2.6393503137689133E-2</v>
      </c>
      <c r="J449">
        <v>6.1073333333333327E-3</v>
      </c>
      <c r="K449">
        <v>0</v>
      </c>
      <c r="L449">
        <v>1.0594315245477983E-2</v>
      </c>
      <c r="M449">
        <v>8.4880000000000008E-3</v>
      </c>
    </row>
    <row r="450" spans="1:13" x14ac:dyDescent="0.3">
      <c r="A450">
        <v>260</v>
      </c>
      <c r="B450">
        <v>0.21466666666666667</v>
      </c>
      <c r="C450">
        <v>0.21342134213421302</v>
      </c>
      <c r="D450">
        <v>6.550566666666667E-2</v>
      </c>
      <c r="E450">
        <v>0</v>
      </c>
      <c r="F450">
        <v>6.9098949695964558E-3</v>
      </c>
      <c r="G450">
        <v>5.829E-3</v>
      </c>
      <c r="H450">
        <v>0</v>
      </c>
      <c r="I450">
        <v>2.4732373569582831E-2</v>
      </c>
      <c r="J450">
        <v>5.738333333333334E-3</v>
      </c>
      <c r="K450">
        <v>0</v>
      </c>
      <c r="L450">
        <v>1.1886304909560668E-2</v>
      </c>
      <c r="M450">
        <v>8.1010000000000006E-3</v>
      </c>
    </row>
    <row r="451" spans="1:13" x14ac:dyDescent="0.3">
      <c r="A451">
        <v>265</v>
      </c>
      <c r="B451">
        <v>0.254</v>
      </c>
      <c r="C451">
        <v>0.23157315731573069</v>
      </c>
      <c r="D451">
        <v>8.585799999999999E-2</v>
      </c>
      <c r="E451">
        <v>0</v>
      </c>
      <c r="F451">
        <v>6.6334991708125969E-3</v>
      </c>
      <c r="G451">
        <v>8.0403333333333316E-3</v>
      </c>
      <c r="H451">
        <v>0</v>
      </c>
      <c r="I451">
        <v>2.2148394241417433E-2</v>
      </c>
      <c r="J451">
        <v>5.738E-3</v>
      </c>
      <c r="K451">
        <v>0</v>
      </c>
      <c r="L451">
        <v>1.0981912144702765E-2</v>
      </c>
      <c r="M451">
        <v>7.7130000000000002E-3</v>
      </c>
    </row>
    <row r="452" spans="1:13" x14ac:dyDescent="0.3">
      <c r="A452">
        <v>270</v>
      </c>
      <c r="B452">
        <v>0.26400000000000001</v>
      </c>
      <c r="C452">
        <v>0.25302530253025268</v>
      </c>
      <c r="D452">
        <v>9.7409333333333334E-2</v>
      </c>
      <c r="E452">
        <v>0</v>
      </c>
      <c r="F452">
        <v>6.0807075732448798E-3</v>
      </c>
      <c r="G452">
        <v>6.6586666666666669E-3</v>
      </c>
      <c r="H452">
        <v>0</v>
      </c>
      <c r="I452">
        <v>2.1779254337393833E-2</v>
      </c>
      <c r="J452">
        <v>5.1846666666666673E-3</v>
      </c>
      <c r="K452">
        <v>0</v>
      </c>
      <c r="L452">
        <v>1.0335917312661433E-2</v>
      </c>
      <c r="M452">
        <v>8.8760000000000002E-3</v>
      </c>
    </row>
    <row r="453" spans="1:13" x14ac:dyDescent="0.3">
      <c r="A453">
        <v>275</v>
      </c>
      <c r="B453">
        <v>0.29033333333333333</v>
      </c>
      <c r="C453">
        <v>0.27942794279427902</v>
      </c>
      <c r="D453">
        <v>0.10620999999999998</v>
      </c>
      <c r="E453">
        <v>0</v>
      </c>
      <c r="F453">
        <v>7.7390823659480067E-3</v>
      </c>
      <c r="G453">
        <v>8.3169999999999997E-3</v>
      </c>
      <c r="H453">
        <v>0</v>
      </c>
      <c r="I453">
        <v>2.1594684385382035E-2</v>
      </c>
      <c r="J453">
        <v>5.9226666666666664E-3</v>
      </c>
      <c r="K453">
        <v>0</v>
      </c>
      <c r="L453">
        <v>1.0206718346253201E-2</v>
      </c>
      <c r="M453">
        <v>7.326E-3</v>
      </c>
    </row>
    <row r="454" spans="1:13" x14ac:dyDescent="0.3">
      <c r="A454">
        <v>280</v>
      </c>
      <c r="B454">
        <v>0.3136666666666667</v>
      </c>
      <c r="C454">
        <v>0.30033003300329963</v>
      </c>
      <c r="D454">
        <v>9.7959333333333329E-2</v>
      </c>
      <c r="E454">
        <v>0</v>
      </c>
      <c r="F454">
        <v>5.8043117744610235E-3</v>
      </c>
      <c r="G454">
        <v>8.5929999999999982E-3</v>
      </c>
      <c r="H454">
        <v>0</v>
      </c>
      <c r="I454">
        <v>2.0118124769287499E-2</v>
      </c>
      <c r="J454">
        <v>5.738333333333334E-3</v>
      </c>
      <c r="K454">
        <v>0</v>
      </c>
      <c r="L454">
        <v>8.397932816537463E-3</v>
      </c>
      <c r="M454">
        <v>7.326E-3</v>
      </c>
    </row>
    <row r="455" spans="1:13" x14ac:dyDescent="0.3">
      <c r="A455">
        <v>285</v>
      </c>
      <c r="B455">
        <v>0.34</v>
      </c>
      <c r="C455">
        <v>0.32948294829482899</v>
      </c>
      <c r="D455">
        <v>0.117211</v>
      </c>
      <c r="E455">
        <v>0</v>
      </c>
      <c r="F455">
        <v>6.9098949695964558E-3</v>
      </c>
      <c r="G455">
        <v>6.6583333333333329E-3</v>
      </c>
      <c r="H455">
        <v>0</v>
      </c>
      <c r="I455">
        <v>2.3624953857511937E-2</v>
      </c>
      <c r="J455">
        <v>5.3689999999999996E-3</v>
      </c>
      <c r="K455">
        <v>0</v>
      </c>
      <c r="L455">
        <v>7.8811369509043886E-3</v>
      </c>
      <c r="M455">
        <v>7.326E-3</v>
      </c>
    </row>
    <row r="456" spans="1:13" x14ac:dyDescent="0.3">
      <c r="A456">
        <v>290</v>
      </c>
      <c r="B456">
        <v>0.373</v>
      </c>
      <c r="C456">
        <v>0.36523652365236497</v>
      </c>
      <c r="D456">
        <v>0.14251366666666668</v>
      </c>
      <c r="E456">
        <v>0</v>
      </c>
      <c r="F456">
        <v>6.9098949695964558E-3</v>
      </c>
      <c r="G456">
        <v>8.0406666666666664E-3</v>
      </c>
      <c r="H456">
        <v>0</v>
      </c>
      <c r="I456">
        <v>1.8272425249169402E-2</v>
      </c>
      <c r="J456">
        <v>5.3693333333333336E-3</v>
      </c>
      <c r="K456">
        <v>0</v>
      </c>
      <c r="L456">
        <v>7.751937984496117E-3</v>
      </c>
      <c r="M456">
        <v>8.1010000000000006E-3</v>
      </c>
    </row>
    <row r="457" spans="1:13" x14ac:dyDescent="0.3">
      <c r="A457">
        <v>295</v>
      </c>
      <c r="B457">
        <v>0.39933333333333332</v>
      </c>
      <c r="C457">
        <v>0.38778877887788732</v>
      </c>
      <c r="D457">
        <v>0.15791533333333332</v>
      </c>
      <c r="E457">
        <v>0</v>
      </c>
      <c r="F457">
        <v>9.1210613598672902E-3</v>
      </c>
      <c r="G457">
        <v>7.2109999999999995E-3</v>
      </c>
      <c r="H457">
        <v>0</v>
      </c>
      <c r="I457">
        <v>1.384274640088589E-2</v>
      </c>
      <c r="J457">
        <v>5.3693333333333336E-3</v>
      </c>
      <c r="K457">
        <v>0</v>
      </c>
      <c r="L457">
        <v>7.6227390180878497E-3</v>
      </c>
      <c r="M457">
        <v>6.9379999999999997E-3</v>
      </c>
    </row>
    <row r="458" spans="1:13" x14ac:dyDescent="0.3">
      <c r="A458">
        <v>300</v>
      </c>
      <c r="B458">
        <v>0.41566666666666668</v>
      </c>
      <c r="C458">
        <v>0.40099009900990068</v>
      </c>
      <c r="D458">
        <v>0.16286600000000001</v>
      </c>
      <c r="E458">
        <v>0</v>
      </c>
      <c r="F458">
        <v>7.7390823659480336E-3</v>
      </c>
      <c r="G458">
        <v>6.9349999999999993E-3</v>
      </c>
      <c r="H458">
        <v>0</v>
      </c>
      <c r="I458">
        <v>1.69804355850867E-2</v>
      </c>
      <c r="J458">
        <v>5.0000000000000001E-3</v>
      </c>
      <c r="K458">
        <v>0</v>
      </c>
      <c r="L458">
        <v>7.1059431524547771E-3</v>
      </c>
      <c r="M458">
        <v>7.326E-3</v>
      </c>
    </row>
    <row r="459" spans="1:13" x14ac:dyDescent="0.3">
      <c r="A459">
        <v>305</v>
      </c>
      <c r="B459">
        <v>0.4323333333333334</v>
      </c>
      <c r="C459">
        <v>0.4301430143014297</v>
      </c>
      <c r="D459">
        <v>0.19916933333333331</v>
      </c>
      <c r="E459">
        <v>0</v>
      </c>
      <c r="F459">
        <v>7.7390823659480371E-3</v>
      </c>
      <c r="G459">
        <v>7.7640000000000001E-3</v>
      </c>
      <c r="H459">
        <v>0</v>
      </c>
      <c r="I459">
        <v>1.5503875968992201E-2</v>
      </c>
      <c r="J459">
        <v>5.1846666666666673E-3</v>
      </c>
      <c r="K459">
        <v>0</v>
      </c>
      <c r="L459">
        <v>5.4263565891472798E-3</v>
      </c>
      <c r="M459">
        <v>6.5500000000000003E-3</v>
      </c>
    </row>
    <row r="460" spans="1:13" x14ac:dyDescent="0.3">
      <c r="A460">
        <v>310</v>
      </c>
      <c r="B460">
        <v>0.46533333333333332</v>
      </c>
      <c r="C460">
        <v>0.44939493949394865</v>
      </c>
      <c r="D460">
        <v>0.16121566666666667</v>
      </c>
      <c r="E460">
        <v>0</v>
      </c>
      <c r="F460">
        <v>7.7390823659480301E-3</v>
      </c>
      <c r="G460">
        <v>9.6986666666666662E-3</v>
      </c>
      <c r="H460">
        <v>0</v>
      </c>
      <c r="I460">
        <v>1.5688445921004022E-2</v>
      </c>
      <c r="J460">
        <v>5.553666666666666E-3</v>
      </c>
      <c r="K460">
        <v>0</v>
      </c>
      <c r="L460">
        <v>6.5891472868216993E-3</v>
      </c>
      <c r="M460">
        <v>6.5500000000000003E-3</v>
      </c>
    </row>
    <row r="461" spans="1:13" x14ac:dyDescent="0.3">
      <c r="A461">
        <v>315</v>
      </c>
      <c r="B461">
        <v>0.4916666666666667</v>
      </c>
      <c r="C461">
        <v>0.47634763476347591</v>
      </c>
      <c r="D461">
        <v>0.18706800000000001</v>
      </c>
      <c r="E461">
        <v>0</v>
      </c>
      <c r="F461">
        <v>8.2918739635157324E-3</v>
      </c>
      <c r="G461">
        <v>8.8696666666666663E-3</v>
      </c>
      <c r="H461">
        <v>0</v>
      </c>
      <c r="I461">
        <v>1.1627906976744165E-2</v>
      </c>
      <c r="J461">
        <v>5.0000000000000001E-3</v>
      </c>
      <c r="K461">
        <v>0</v>
      </c>
      <c r="L461">
        <v>6.0723514211886232E-3</v>
      </c>
      <c r="M461">
        <v>5.7749999999999998E-3</v>
      </c>
    </row>
    <row r="462" spans="1:13" x14ac:dyDescent="0.3">
      <c r="A462">
        <v>320</v>
      </c>
      <c r="B462">
        <v>0.505</v>
      </c>
      <c r="C462">
        <v>0.49504950495049499</v>
      </c>
      <c r="D462">
        <v>0.21182066666666666</v>
      </c>
      <c r="E462">
        <v>0</v>
      </c>
      <c r="F462">
        <v>9.3974571586511665E-3</v>
      </c>
      <c r="G462">
        <v>8.593333333333333E-3</v>
      </c>
      <c r="H462">
        <v>0</v>
      </c>
      <c r="I462">
        <v>1.4027316352897667E-2</v>
      </c>
      <c r="J462">
        <v>5.0000000000000001E-3</v>
      </c>
      <c r="K462">
        <v>0</v>
      </c>
      <c r="L462">
        <v>5.4263565891472833E-3</v>
      </c>
      <c r="M462">
        <v>6.1629999999999992E-3</v>
      </c>
    </row>
    <row r="463" spans="1:13" x14ac:dyDescent="0.3">
      <c r="A463">
        <v>325</v>
      </c>
      <c r="B463">
        <v>0.52800000000000002</v>
      </c>
      <c r="C463">
        <v>0.51320132013201303</v>
      </c>
      <c r="D463">
        <v>0.25692500000000001</v>
      </c>
      <c r="E463">
        <v>0</v>
      </c>
      <c r="F463">
        <v>7.4626865671641764E-3</v>
      </c>
      <c r="G463">
        <v>9.6986666666666662E-3</v>
      </c>
      <c r="H463">
        <v>0</v>
      </c>
      <c r="I463">
        <v>1.1627906976744177E-2</v>
      </c>
      <c r="J463">
        <v>5.0000000000000001E-3</v>
      </c>
      <c r="K463">
        <v>0</v>
      </c>
      <c r="L463">
        <v>4.5219638242894001E-3</v>
      </c>
      <c r="M463">
        <v>6.5500000000000003E-3</v>
      </c>
    </row>
    <row r="464" spans="1:13" x14ac:dyDescent="0.3">
      <c r="A464">
        <v>330</v>
      </c>
      <c r="B464">
        <v>0.55100000000000005</v>
      </c>
      <c r="C464">
        <v>0.54235423542354166</v>
      </c>
      <c r="D464">
        <v>0.28167766666666666</v>
      </c>
      <c r="E464">
        <v>0</v>
      </c>
      <c r="F464">
        <v>1.1608623548922033E-2</v>
      </c>
      <c r="G464">
        <v>9.9749999999999995E-3</v>
      </c>
      <c r="H464">
        <v>0</v>
      </c>
      <c r="I464">
        <v>1.0335917312661473E-2</v>
      </c>
      <c r="J464">
        <v>5.0000000000000001E-3</v>
      </c>
      <c r="K464">
        <v>0</v>
      </c>
      <c r="L464">
        <v>4.1343669250645939E-3</v>
      </c>
      <c r="M464">
        <v>5.7749999999999998E-3</v>
      </c>
    </row>
    <row r="465" spans="1:13" x14ac:dyDescent="0.3">
      <c r="A465">
        <v>335</v>
      </c>
      <c r="B465">
        <v>0.56433333333333335</v>
      </c>
      <c r="C465">
        <v>0.55720572057205653</v>
      </c>
      <c r="D465">
        <v>0.246474</v>
      </c>
      <c r="E465">
        <v>1.6666666666666668E-3</v>
      </c>
      <c r="F465">
        <v>8.5682697622995931E-3</v>
      </c>
      <c r="G465">
        <v>1.2186333333333334E-2</v>
      </c>
      <c r="H465">
        <v>0</v>
      </c>
      <c r="I465">
        <v>1.3658176448874107E-2</v>
      </c>
      <c r="J465">
        <v>5.0000000000000001E-3</v>
      </c>
      <c r="K465">
        <v>0</v>
      </c>
      <c r="L465">
        <v>4.005167958656324E-3</v>
      </c>
      <c r="M465">
        <v>5.7749999999999998E-3</v>
      </c>
    </row>
    <row r="466" spans="1:13" x14ac:dyDescent="0.3">
      <c r="A466">
        <v>340</v>
      </c>
      <c r="B466">
        <v>0.58399999999999996</v>
      </c>
      <c r="C466">
        <v>0.57315731573157302</v>
      </c>
      <c r="D466">
        <v>0.313031</v>
      </c>
      <c r="E466">
        <v>1.6666666666666668E-3</v>
      </c>
      <c r="F466">
        <v>1.3266998341625183E-2</v>
      </c>
      <c r="G466">
        <v>1.2462333333333332E-2</v>
      </c>
      <c r="H466">
        <v>0</v>
      </c>
      <c r="I466">
        <v>1.1812476928755941E-2</v>
      </c>
      <c r="J466">
        <v>5.0000000000000001E-3</v>
      </c>
      <c r="K466">
        <v>0</v>
      </c>
      <c r="L466">
        <v>4.2635658914728638E-3</v>
      </c>
      <c r="M466">
        <v>5.3880000000000004E-3</v>
      </c>
    </row>
    <row r="467" spans="1:13" x14ac:dyDescent="0.3">
      <c r="A467">
        <v>345</v>
      </c>
      <c r="B467">
        <v>0.58733333333333337</v>
      </c>
      <c r="C467">
        <v>0.57535753575357507</v>
      </c>
      <c r="D467">
        <v>0.27837733333333331</v>
      </c>
      <c r="E467">
        <v>1.6666666666666668E-3</v>
      </c>
      <c r="F467">
        <v>9.3974571586511665E-3</v>
      </c>
      <c r="G467">
        <v>9.9749999999999995E-3</v>
      </c>
      <c r="H467">
        <v>0</v>
      </c>
      <c r="I467">
        <v>9.2284976005906124E-3</v>
      </c>
      <c r="J467">
        <v>5.0000000000000001E-3</v>
      </c>
      <c r="K467">
        <v>0</v>
      </c>
      <c r="L467">
        <v>3.8759689922480568E-3</v>
      </c>
      <c r="M467">
        <v>5.3880000000000004E-3</v>
      </c>
    </row>
    <row r="468" spans="1:13" x14ac:dyDescent="0.3">
      <c r="A468">
        <v>350</v>
      </c>
      <c r="B468">
        <v>0.60066666666666668</v>
      </c>
      <c r="C468">
        <v>0.59735973597359704</v>
      </c>
      <c r="D468">
        <v>0.31688100000000002</v>
      </c>
      <c r="E468">
        <v>1.6666666666666668E-3</v>
      </c>
      <c r="F468">
        <v>1.2161415146489723E-2</v>
      </c>
      <c r="G468">
        <v>1.0251333333333333E-2</v>
      </c>
      <c r="H468">
        <v>0</v>
      </c>
      <c r="I468">
        <v>9.966777408637861E-3</v>
      </c>
      <c r="J468">
        <v>5.0000000000000001E-3</v>
      </c>
      <c r="K468">
        <v>0</v>
      </c>
      <c r="L468">
        <v>2.7131782945736364E-3</v>
      </c>
      <c r="M468">
        <v>5.7749999999999998E-3</v>
      </c>
    </row>
    <row r="469" spans="1:13" x14ac:dyDescent="0.3">
      <c r="A469">
        <v>355</v>
      </c>
      <c r="B469">
        <v>0.62733333333333341</v>
      </c>
      <c r="C469">
        <v>0.61276127612761266</v>
      </c>
      <c r="D469">
        <v>0.34218366666666666</v>
      </c>
      <c r="E469">
        <v>1.6666666666666668E-3</v>
      </c>
      <c r="F469">
        <v>1.2990602542841305E-2</v>
      </c>
      <c r="G469">
        <v>1.0251333333333333E-2</v>
      </c>
      <c r="H469">
        <v>0</v>
      </c>
      <c r="I469">
        <v>1.0335917312661473E-2</v>
      </c>
      <c r="J469">
        <v>5.0000000000000001E-3</v>
      </c>
      <c r="K469">
        <v>0</v>
      </c>
      <c r="L469">
        <v>3.4883720930232501E-3</v>
      </c>
      <c r="M469">
        <v>5.3880000000000004E-3</v>
      </c>
    </row>
    <row r="470" spans="1:13" x14ac:dyDescent="0.3">
      <c r="A470">
        <v>360</v>
      </c>
      <c r="B470">
        <v>0.63400000000000001</v>
      </c>
      <c r="C470">
        <v>0.61936193619361901</v>
      </c>
      <c r="D470">
        <v>0.3498843333333333</v>
      </c>
      <c r="E470">
        <v>3.3333333333333335E-3</v>
      </c>
      <c r="F470">
        <v>1.188501934770589E-2</v>
      </c>
      <c r="G470">
        <v>9.9749999999999995E-3</v>
      </c>
      <c r="H470">
        <v>0</v>
      </c>
      <c r="I470">
        <v>1.0705057216685099E-2</v>
      </c>
      <c r="J470">
        <v>5.1846666666666673E-3</v>
      </c>
      <c r="K470">
        <v>0</v>
      </c>
      <c r="L470">
        <v>3.3591731266149802E-3</v>
      </c>
      <c r="M470">
        <v>6.1629999999999992E-3</v>
      </c>
    </row>
    <row r="471" spans="1:13" x14ac:dyDescent="0.3">
      <c r="A471">
        <v>365</v>
      </c>
      <c r="B471">
        <v>0.66300000000000003</v>
      </c>
      <c r="C471">
        <v>0.6540154015401537</v>
      </c>
      <c r="D471">
        <v>0.39718933333333334</v>
      </c>
      <c r="E471">
        <v>6.6666666666666671E-3</v>
      </c>
      <c r="F471">
        <v>1.6583747927031475E-2</v>
      </c>
      <c r="G471">
        <v>1.7161666666666665E-2</v>
      </c>
      <c r="H471">
        <v>0</v>
      </c>
      <c r="I471">
        <v>8.3056478405315569E-3</v>
      </c>
      <c r="J471">
        <v>5.0000000000000001E-3</v>
      </c>
      <c r="K471">
        <v>0</v>
      </c>
      <c r="L471">
        <v>2.8423772609819063E-3</v>
      </c>
      <c r="M471">
        <v>5.0000000000000001E-3</v>
      </c>
    </row>
    <row r="472" spans="1:13" x14ac:dyDescent="0.3">
      <c r="A472">
        <v>370</v>
      </c>
      <c r="B472">
        <v>0.67633333333333334</v>
      </c>
      <c r="C472">
        <v>0.66446644664466403</v>
      </c>
      <c r="D472">
        <v>0.36418599999999995</v>
      </c>
      <c r="E472">
        <v>8.3333333333333332E-3</v>
      </c>
      <c r="F472">
        <v>1.6030956329463764E-2</v>
      </c>
      <c r="G472">
        <v>1.4397333333333331E-2</v>
      </c>
      <c r="H472">
        <v>0</v>
      </c>
      <c r="I472">
        <v>7.7519379844961196E-3</v>
      </c>
      <c r="J472">
        <v>5.0000000000000001E-3</v>
      </c>
      <c r="K472">
        <v>0</v>
      </c>
      <c r="L472">
        <v>2.1963824289405669E-3</v>
      </c>
      <c r="M472">
        <v>5.7749999999999998E-3</v>
      </c>
    </row>
    <row r="473" spans="1:13" x14ac:dyDescent="0.3">
      <c r="A473">
        <v>375</v>
      </c>
      <c r="B473">
        <v>0.68633333333333335</v>
      </c>
      <c r="C473">
        <v>0.67656765676567632</v>
      </c>
      <c r="D473">
        <v>0.42689200000000005</v>
      </c>
      <c r="E473">
        <v>0.01</v>
      </c>
      <c r="F473">
        <v>1.6860143725815332E-2</v>
      </c>
      <c r="G473">
        <v>2.1583666666666668E-2</v>
      </c>
      <c r="H473">
        <v>0</v>
      </c>
      <c r="I473">
        <v>7.5673680324843074E-3</v>
      </c>
      <c r="J473">
        <v>5.0000000000000001E-3</v>
      </c>
      <c r="K473">
        <v>0</v>
      </c>
      <c r="L473">
        <v>2.5839793281653665E-3</v>
      </c>
      <c r="M473">
        <v>5.3880000000000004E-3</v>
      </c>
    </row>
    <row r="474" spans="1:13" x14ac:dyDescent="0.3">
      <c r="A474">
        <v>380</v>
      </c>
      <c r="B474">
        <v>0.70299999999999996</v>
      </c>
      <c r="C474">
        <v>0.69361936193619333</v>
      </c>
      <c r="D474">
        <v>0.37628700000000004</v>
      </c>
      <c r="E474">
        <v>1.6666666666666666E-2</v>
      </c>
      <c r="F474">
        <v>1.9900497512437765E-2</v>
      </c>
      <c r="G474">
        <v>1.5502999999999998E-2</v>
      </c>
      <c r="H474">
        <v>0</v>
      </c>
      <c r="I474">
        <v>1.015134736064967E-2</v>
      </c>
      <c r="J474">
        <v>5.0000000000000001E-3</v>
      </c>
      <c r="K474">
        <v>0</v>
      </c>
      <c r="L474">
        <v>2.4547803617571001E-3</v>
      </c>
      <c r="M474">
        <v>5.3880000000000004E-3</v>
      </c>
    </row>
    <row r="503" spans="1:4" x14ac:dyDescent="0.3">
      <c r="B503" s="7" t="s">
        <v>404</v>
      </c>
      <c r="C503" s="7"/>
      <c r="D503" s="7"/>
    </row>
    <row r="504" spans="1:4" x14ac:dyDescent="0.3">
      <c r="A504" t="s">
        <v>403</v>
      </c>
      <c r="B504" t="s">
        <v>388</v>
      </c>
      <c r="C504" t="s">
        <v>7</v>
      </c>
      <c r="D504" t="s">
        <v>8</v>
      </c>
    </row>
    <row r="505" spans="1:4" x14ac:dyDescent="0.3">
      <c r="A505">
        <v>500</v>
      </c>
      <c r="B505">
        <v>135</v>
      </c>
      <c r="C505">
        <v>105</v>
      </c>
      <c r="D505">
        <v>65</v>
      </c>
    </row>
    <row r="506" spans="1:4" x14ac:dyDescent="0.3">
      <c r="A506">
        <v>1000</v>
      </c>
      <c r="B506">
        <v>190</v>
      </c>
      <c r="C506">
        <v>215</v>
      </c>
      <c r="D506">
        <v>200</v>
      </c>
    </row>
    <row r="507" spans="1:4" x14ac:dyDescent="0.3">
      <c r="A507">
        <v>1500</v>
      </c>
      <c r="B507">
        <v>380</v>
      </c>
      <c r="C507">
        <v>375</v>
      </c>
      <c r="D507">
        <v>300</v>
      </c>
    </row>
    <row r="508" spans="1:4" x14ac:dyDescent="0.3">
      <c r="A508">
        <v>3000</v>
      </c>
      <c r="B508">
        <v>380</v>
      </c>
      <c r="C508">
        <v>370</v>
      </c>
      <c r="D508">
        <v>365</v>
      </c>
    </row>
  </sheetData>
  <mergeCells count="1">
    <mergeCell ref="B503:D50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B1FE-5912-4EFC-8D92-B427B1A66821}">
  <dimension ref="A1:S465"/>
  <sheetViews>
    <sheetView tabSelected="1" topLeftCell="A427" workbookViewId="0">
      <selection activeCell="A322" sqref="A322:M397"/>
    </sheetView>
  </sheetViews>
  <sheetFormatPr defaultRowHeight="14.4" x14ac:dyDescent="0.3"/>
  <cols>
    <col min="10" max="10" width="9.33203125" bestFit="1" customWidth="1"/>
    <col min="11" max="11" width="10.109375" bestFit="1" customWidth="1"/>
    <col min="14" max="14" width="16.33203125" bestFit="1" customWidth="1"/>
    <col min="18" max="18" width="12" bestFit="1" customWidth="1"/>
  </cols>
  <sheetData>
    <row r="1" spans="1:19" x14ac:dyDescent="0.3">
      <c r="A1" t="s">
        <v>9</v>
      </c>
    </row>
    <row r="2" spans="1:19" x14ac:dyDescent="0.3">
      <c r="C2" t="s">
        <v>6</v>
      </c>
      <c r="F2" t="s">
        <v>7</v>
      </c>
      <c r="I2" t="s">
        <v>8</v>
      </c>
      <c r="O2" t="s">
        <v>83</v>
      </c>
      <c r="R2" t="s">
        <v>84</v>
      </c>
    </row>
    <row r="3" spans="1:19" x14ac:dyDescent="0.3">
      <c r="A3" t="s">
        <v>85</v>
      </c>
      <c r="B3" t="s">
        <v>86</v>
      </c>
      <c r="C3" t="s">
        <v>88</v>
      </c>
      <c r="D3" t="s">
        <v>90</v>
      </c>
      <c r="E3" t="s">
        <v>92</v>
      </c>
      <c r="F3" t="s">
        <v>93</v>
      </c>
      <c r="G3" t="s">
        <v>94</v>
      </c>
      <c r="H3" t="s">
        <v>92</v>
      </c>
      <c r="I3" t="s">
        <v>93</v>
      </c>
      <c r="J3" t="s">
        <v>94</v>
      </c>
      <c r="K3" t="s">
        <v>95</v>
      </c>
      <c r="L3" t="s">
        <v>96</v>
      </c>
      <c r="N3" t="s">
        <v>126</v>
      </c>
      <c r="O3" t="s">
        <v>99</v>
      </c>
      <c r="P3" t="s">
        <v>100</v>
      </c>
      <c r="Q3" t="s">
        <v>6</v>
      </c>
      <c r="R3" t="s">
        <v>7</v>
      </c>
      <c r="S3" t="s">
        <v>8</v>
      </c>
    </row>
    <row r="4" spans="1:19" x14ac:dyDescent="0.3">
      <c r="A4">
        <v>10</v>
      </c>
      <c r="B4">
        <v>0.01</v>
      </c>
      <c r="C4">
        <v>5.8999999999999997E-2</v>
      </c>
      <c r="D4">
        <v>5.8999999999999997E-2</v>
      </c>
      <c r="E4">
        <v>0.15346534653465299</v>
      </c>
      <c r="F4">
        <v>0.132013201320132</v>
      </c>
      <c r="G4">
        <v>0.20297029702970201</v>
      </c>
      <c r="H4">
        <v>2.3151999999999999E-2</v>
      </c>
      <c r="I4">
        <v>1.8200999999999998E-2</v>
      </c>
      <c r="J4">
        <v>3.1403E-2</v>
      </c>
      <c r="K4">
        <v>1367.5</v>
      </c>
      <c r="L4">
        <v>3.47</v>
      </c>
      <c r="N4">
        <f>AVERAGE(B4:D4)</f>
        <v>4.2666666666666665E-2</v>
      </c>
      <c r="O4">
        <f>AVERAGE(E4:G4)</f>
        <v>0.16281628162816233</v>
      </c>
      <c r="P4">
        <f>AVERAGE(H4:J4)</f>
        <v>2.4251999999999999E-2</v>
      </c>
      <c r="Q4">
        <f>MIN(N4:N78)</f>
        <v>2.6666666666666668E-2</v>
      </c>
      <c r="R4">
        <f>MIN(O4:O78)</f>
        <v>0.14631463146314566</v>
      </c>
      <c r="S4">
        <f>MIN(P4:P78)</f>
        <v>1.6567666666666665E-2</v>
      </c>
    </row>
    <row r="5" spans="1:19" x14ac:dyDescent="0.3">
      <c r="A5">
        <v>15</v>
      </c>
      <c r="B5">
        <v>0.01</v>
      </c>
      <c r="C5">
        <v>0.03</v>
      </c>
      <c r="D5">
        <v>0.05</v>
      </c>
      <c r="E5">
        <v>0.27392739273927302</v>
      </c>
      <c r="F5">
        <v>0.18976897689768901</v>
      </c>
      <c r="G5">
        <v>0.33663366336633599</v>
      </c>
      <c r="H5">
        <v>1.1601E-2</v>
      </c>
      <c r="I5">
        <v>1.9851000000000001E-2</v>
      </c>
      <c r="J5">
        <v>1.9851000000000001E-2</v>
      </c>
      <c r="K5">
        <v>1663.5</v>
      </c>
      <c r="L5">
        <v>4.88</v>
      </c>
      <c r="N5">
        <f t="shared" ref="N5:N68" si="0">AVERAGE(B5:D5)</f>
        <v>0.03</v>
      </c>
      <c r="O5">
        <f t="shared" ref="O5:O68" si="1">AVERAGE(E5:G5)</f>
        <v>0.26677667766776603</v>
      </c>
      <c r="P5">
        <f t="shared" ref="P5:P68" si="2">AVERAGE(H5:J5)</f>
        <v>1.7101000000000002E-2</v>
      </c>
      <c r="Q5" t="s">
        <v>127</v>
      </c>
      <c r="R5" t="s">
        <v>128</v>
      </c>
      <c r="S5" t="s">
        <v>127</v>
      </c>
    </row>
    <row r="6" spans="1:19" x14ac:dyDescent="0.3">
      <c r="A6">
        <v>20</v>
      </c>
      <c r="B6">
        <v>0.04</v>
      </c>
      <c r="C6">
        <v>0.04</v>
      </c>
      <c r="D6">
        <v>0.05</v>
      </c>
      <c r="E6">
        <v>0.39933993399339901</v>
      </c>
      <c r="F6">
        <v>0.29372937293729301</v>
      </c>
      <c r="G6">
        <v>0.315181518151815</v>
      </c>
      <c r="H6">
        <v>1.3251000000000001E-2</v>
      </c>
      <c r="I6">
        <v>1.8200999999999998E-2</v>
      </c>
      <c r="J6">
        <v>2.4802000000000001E-2</v>
      </c>
      <c r="K6">
        <v>1826.1</v>
      </c>
      <c r="L6">
        <v>5.09</v>
      </c>
      <c r="N6">
        <f t="shared" si="0"/>
        <v>4.3333333333333335E-2</v>
      </c>
      <c r="O6">
        <f t="shared" si="1"/>
        <v>0.33608360836083567</v>
      </c>
      <c r="P6">
        <f t="shared" si="2"/>
        <v>1.8751333333333332E-2</v>
      </c>
    </row>
    <row r="7" spans="1:19" x14ac:dyDescent="0.3">
      <c r="A7">
        <v>25</v>
      </c>
      <c r="B7">
        <v>0.01</v>
      </c>
      <c r="C7">
        <v>0.03</v>
      </c>
      <c r="D7">
        <v>0.04</v>
      </c>
      <c r="E7">
        <v>0.30198019801980103</v>
      </c>
      <c r="F7">
        <v>0.20627062706270599</v>
      </c>
      <c r="G7">
        <v>0.25577557755775499</v>
      </c>
      <c r="H7">
        <v>1.4900999999999999E-2</v>
      </c>
      <c r="I7">
        <v>1.8200999999999998E-2</v>
      </c>
      <c r="J7">
        <v>1.6601000000000001E-2</v>
      </c>
      <c r="K7">
        <v>1965.3</v>
      </c>
      <c r="L7">
        <v>3.95</v>
      </c>
      <c r="N7">
        <f t="shared" si="0"/>
        <v>2.6666666666666668E-2</v>
      </c>
      <c r="O7">
        <f t="shared" si="1"/>
        <v>0.25467546754675402</v>
      </c>
      <c r="P7">
        <f t="shared" si="2"/>
        <v>1.6567666666666665E-2</v>
      </c>
    </row>
    <row r="8" spans="1:19" x14ac:dyDescent="0.3">
      <c r="A8">
        <v>30</v>
      </c>
      <c r="B8">
        <v>0.05</v>
      </c>
      <c r="C8">
        <v>0.03</v>
      </c>
      <c r="D8">
        <v>6.9000000000000006E-2</v>
      </c>
      <c r="E8">
        <v>0.36468646864686399</v>
      </c>
      <c r="F8">
        <v>0.37128712871287101</v>
      </c>
      <c r="G8">
        <v>0.237623762376237</v>
      </c>
      <c r="H8">
        <v>2.9752000000000001E-2</v>
      </c>
      <c r="I8">
        <v>1.6551E-2</v>
      </c>
      <c r="J8">
        <v>2.9752000000000001E-2</v>
      </c>
      <c r="K8">
        <v>2101.1</v>
      </c>
      <c r="L8">
        <v>3.77</v>
      </c>
      <c r="N8">
        <f t="shared" si="0"/>
        <v>4.9666666666666671E-2</v>
      </c>
      <c r="O8">
        <f t="shared" si="1"/>
        <v>0.32453245324532398</v>
      </c>
      <c r="P8">
        <f t="shared" si="2"/>
        <v>2.5351666666666665E-2</v>
      </c>
    </row>
    <row r="9" spans="1:19" x14ac:dyDescent="0.3">
      <c r="A9">
        <v>35</v>
      </c>
      <c r="B9">
        <v>0.05</v>
      </c>
      <c r="C9">
        <v>0.03</v>
      </c>
      <c r="D9">
        <v>6.9000000000000006E-2</v>
      </c>
      <c r="E9">
        <v>0.15346534653465299</v>
      </c>
      <c r="F9">
        <v>0.28382838283828299</v>
      </c>
      <c r="G9">
        <v>0.22607260726072601</v>
      </c>
      <c r="H9">
        <v>3.1403E-2</v>
      </c>
      <c r="I9">
        <v>2.6452E-2</v>
      </c>
      <c r="J9">
        <v>3.9653000000000001E-2</v>
      </c>
      <c r="K9">
        <v>2305.6999999999998</v>
      </c>
      <c r="L9">
        <v>4.3099999999999996</v>
      </c>
      <c r="N9">
        <f t="shared" si="0"/>
        <v>4.9666666666666671E-2</v>
      </c>
      <c r="O9">
        <f t="shared" si="1"/>
        <v>0.22112211221122066</v>
      </c>
      <c r="P9">
        <f t="shared" si="2"/>
        <v>3.2502666666666673E-2</v>
      </c>
    </row>
    <row r="10" spans="1:19" x14ac:dyDescent="0.3">
      <c r="A10">
        <v>40</v>
      </c>
      <c r="B10">
        <v>0.05</v>
      </c>
      <c r="C10">
        <v>5.8999999999999997E-2</v>
      </c>
      <c r="D10">
        <v>6.9000000000000006E-2</v>
      </c>
      <c r="E10">
        <v>0.22112211221122099</v>
      </c>
      <c r="F10">
        <v>0.21947194719471899</v>
      </c>
      <c r="G10">
        <v>0.19306930693069299</v>
      </c>
      <c r="H10">
        <v>2.9752000000000001E-2</v>
      </c>
      <c r="I10">
        <v>2.6452E-2</v>
      </c>
      <c r="J10">
        <v>3.3052999999999999E-2</v>
      </c>
      <c r="K10">
        <v>2449.1999999999998</v>
      </c>
      <c r="L10">
        <v>6</v>
      </c>
      <c r="N10">
        <f t="shared" si="0"/>
        <v>5.9333333333333328E-2</v>
      </c>
      <c r="O10">
        <f t="shared" si="1"/>
        <v>0.211221122112211</v>
      </c>
      <c r="P10">
        <f t="shared" si="2"/>
        <v>2.9752333333333335E-2</v>
      </c>
    </row>
    <row r="11" spans="1:19" x14ac:dyDescent="0.3">
      <c r="A11">
        <v>45</v>
      </c>
      <c r="B11">
        <v>0.04</v>
      </c>
      <c r="C11">
        <v>0.03</v>
      </c>
      <c r="D11">
        <v>6.9000000000000006E-2</v>
      </c>
      <c r="E11">
        <v>0.14686468646864601</v>
      </c>
      <c r="F11">
        <v>0.28217821782178198</v>
      </c>
      <c r="G11">
        <v>0.235973597359736</v>
      </c>
      <c r="H11">
        <v>3.3052999999999999E-2</v>
      </c>
      <c r="I11">
        <v>2.1502E-2</v>
      </c>
      <c r="J11">
        <v>2.9752000000000001E-2</v>
      </c>
      <c r="K11">
        <v>2610.5</v>
      </c>
      <c r="L11">
        <v>4.7699999999999996</v>
      </c>
      <c r="N11">
        <f t="shared" si="0"/>
        <v>4.6333333333333337E-2</v>
      </c>
      <c r="O11">
        <f t="shared" si="1"/>
        <v>0.22167216721672134</v>
      </c>
      <c r="P11">
        <f t="shared" si="2"/>
        <v>2.810233333333333E-2</v>
      </c>
    </row>
    <row r="12" spans="1:19" x14ac:dyDescent="0.3">
      <c r="A12">
        <v>50</v>
      </c>
      <c r="B12">
        <v>6.9000000000000006E-2</v>
      </c>
      <c r="C12">
        <v>0.04</v>
      </c>
      <c r="D12">
        <v>6.9000000000000006E-2</v>
      </c>
      <c r="E12">
        <v>0.19141914191419099</v>
      </c>
      <c r="F12">
        <v>0.17986798679867899</v>
      </c>
      <c r="G12">
        <v>0.224422442244224</v>
      </c>
      <c r="H12">
        <v>3.3052999999999999E-2</v>
      </c>
      <c r="I12">
        <v>2.8152E-2</v>
      </c>
      <c r="J12">
        <v>3.6402999999999998E-2</v>
      </c>
      <c r="K12">
        <v>2726.6</v>
      </c>
      <c r="L12">
        <v>4.95</v>
      </c>
      <c r="N12">
        <f t="shared" si="0"/>
        <v>5.9333333333333342E-2</v>
      </c>
      <c r="O12">
        <f t="shared" si="1"/>
        <v>0.19856985698569798</v>
      </c>
      <c r="P12">
        <f t="shared" si="2"/>
        <v>3.2536000000000002E-2</v>
      </c>
    </row>
    <row r="13" spans="1:19" x14ac:dyDescent="0.3">
      <c r="A13">
        <v>55</v>
      </c>
      <c r="B13">
        <v>0.05</v>
      </c>
      <c r="C13">
        <v>0.04</v>
      </c>
      <c r="D13">
        <v>7.9000000000000001E-2</v>
      </c>
      <c r="E13">
        <v>0.19306930693069299</v>
      </c>
      <c r="F13">
        <v>0.118811881188118</v>
      </c>
      <c r="G13">
        <v>0.16831683168316799</v>
      </c>
      <c r="H13">
        <v>3.8003000000000002E-2</v>
      </c>
      <c r="I13">
        <v>2.1502E-2</v>
      </c>
      <c r="J13">
        <v>4.2953999999999999E-2</v>
      </c>
      <c r="K13">
        <v>2860.4</v>
      </c>
      <c r="L13">
        <v>5.44</v>
      </c>
      <c r="N13">
        <f t="shared" si="0"/>
        <v>5.6333333333333326E-2</v>
      </c>
      <c r="O13">
        <f t="shared" si="1"/>
        <v>0.16006600660065964</v>
      </c>
      <c r="P13">
        <f t="shared" si="2"/>
        <v>3.4152999999999996E-2</v>
      </c>
    </row>
    <row r="14" spans="1:19" x14ac:dyDescent="0.3">
      <c r="A14">
        <v>60</v>
      </c>
      <c r="B14">
        <v>5.8999999999999997E-2</v>
      </c>
      <c r="C14">
        <v>0.04</v>
      </c>
      <c r="D14">
        <v>8.8999999999999996E-2</v>
      </c>
      <c r="E14">
        <v>0.12871287128712799</v>
      </c>
      <c r="F14">
        <v>0.15181518151815099</v>
      </c>
      <c r="G14">
        <v>0.158415841584158</v>
      </c>
      <c r="H14">
        <v>3.3052999999999999E-2</v>
      </c>
      <c r="I14">
        <v>2.1502E-2</v>
      </c>
      <c r="J14">
        <v>3.8003000000000002E-2</v>
      </c>
      <c r="K14">
        <v>3439.7</v>
      </c>
      <c r="L14">
        <v>25.75</v>
      </c>
      <c r="N14">
        <f t="shared" si="0"/>
        <v>6.2666666666666662E-2</v>
      </c>
      <c r="O14">
        <f t="shared" si="1"/>
        <v>0.14631463146314566</v>
      </c>
      <c r="P14">
        <f t="shared" si="2"/>
        <v>3.0852666666666667E-2</v>
      </c>
    </row>
    <row r="15" spans="1:19" x14ac:dyDescent="0.3">
      <c r="A15">
        <v>65</v>
      </c>
      <c r="B15">
        <v>0.05</v>
      </c>
      <c r="C15">
        <v>6.9000000000000006E-2</v>
      </c>
      <c r="D15">
        <v>6.9000000000000006E-2</v>
      </c>
      <c r="E15">
        <v>0.143564356435643</v>
      </c>
      <c r="F15">
        <v>0.15181518151815099</v>
      </c>
      <c r="G15">
        <v>0.21287128712871201</v>
      </c>
      <c r="H15">
        <v>3.9653000000000001E-2</v>
      </c>
      <c r="I15">
        <v>2.9801999999999999E-2</v>
      </c>
      <c r="J15">
        <v>3.6353000000000003E-2</v>
      </c>
      <c r="K15">
        <v>4595.7</v>
      </c>
      <c r="L15">
        <v>47.62</v>
      </c>
      <c r="N15">
        <f t="shared" si="0"/>
        <v>6.2666666666666662E-2</v>
      </c>
      <c r="O15">
        <f t="shared" si="1"/>
        <v>0.16941694169416865</v>
      </c>
      <c r="P15">
        <f t="shared" si="2"/>
        <v>3.526933333333334E-2</v>
      </c>
    </row>
    <row r="16" spans="1:19" x14ac:dyDescent="0.3">
      <c r="A16">
        <v>70</v>
      </c>
      <c r="B16">
        <v>0.129</v>
      </c>
      <c r="C16">
        <v>9.9000000000000005E-2</v>
      </c>
      <c r="D16">
        <v>0.109</v>
      </c>
      <c r="E16">
        <v>0.169966996699669</v>
      </c>
      <c r="F16">
        <v>0.18151815181518099</v>
      </c>
      <c r="G16">
        <v>0.22607260726072601</v>
      </c>
      <c r="H16">
        <v>3.1403E-2</v>
      </c>
      <c r="I16">
        <v>3.1403E-2</v>
      </c>
      <c r="J16">
        <v>3.3052999999999999E-2</v>
      </c>
      <c r="K16">
        <v>5920.4</v>
      </c>
      <c r="L16">
        <v>43.78</v>
      </c>
      <c r="N16">
        <f t="shared" si="0"/>
        <v>0.11233333333333334</v>
      </c>
      <c r="O16">
        <f t="shared" si="1"/>
        <v>0.19251925192519201</v>
      </c>
      <c r="P16">
        <f t="shared" si="2"/>
        <v>3.1953000000000002E-2</v>
      </c>
    </row>
    <row r="17" spans="1:16" x14ac:dyDescent="0.3">
      <c r="A17">
        <v>75</v>
      </c>
      <c r="B17">
        <v>0.13900000000000001</v>
      </c>
      <c r="C17">
        <v>0.16800000000000001</v>
      </c>
      <c r="D17">
        <v>0.158</v>
      </c>
      <c r="E17">
        <v>0.20627062706270599</v>
      </c>
      <c r="F17">
        <v>0.22772277227722701</v>
      </c>
      <c r="G17">
        <v>0.29372937293729301</v>
      </c>
      <c r="H17">
        <v>5.6154999999999997E-2</v>
      </c>
      <c r="I17">
        <v>5.1205000000000001E-2</v>
      </c>
      <c r="J17">
        <v>4.6254000000000003E-2</v>
      </c>
      <c r="K17">
        <v>7174.7</v>
      </c>
      <c r="L17">
        <v>39.58</v>
      </c>
      <c r="N17">
        <f t="shared" si="0"/>
        <v>0.15500000000000003</v>
      </c>
      <c r="O17">
        <f t="shared" si="1"/>
        <v>0.24257425742574198</v>
      </c>
      <c r="P17">
        <f t="shared" si="2"/>
        <v>5.1204666666666669E-2</v>
      </c>
    </row>
    <row r="18" spans="1:16" x14ac:dyDescent="0.3">
      <c r="A18">
        <v>80</v>
      </c>
      <c r="B18">
        <v>0.17799999999999999</v>
      </c>
      <c r="C18">
        <v>0.158</v>
      </c>
      <c r="D18">
        <v>0.16800000000000001</v>
      </c>
      <c r="E18">
        <v>0.26567656765676501</v>
      </c>
      <c r="F18">
        <v>0.25412541254125398</v>
      </c>
      <c r="G18">
        <v>0.224422442244224</v>
      </c>
      <c r="H18">
        <v>5.4504999999999998E-2</v>
      </c>
      <c r="I18">
        <v>3.3052999999999999E-2</v>
      </c>
      <c r="J18">
        <v>4.6254000000000003E-2</v>
      </c>
      <c r="K18">
        <v>8681.5</v>
      </c>
      <c r="L18">
        <v>39.58</v>
      </c>
      <c r="N18">
        <f t="shared" si="0"/>
        <v>0.16800000000000001</v>
      </c>
      <c r="O18">
        <f t="shared" si="1"/>
        <v>0.24807480748074764</v>
      </c>
      <c r="P18">
        <f t="shared" si="2"/>
        <v>4.4603999999999998E-2</v>
      </c>
    </row>
    <row r="19" spans="1:16" x14ac:dyDescent="0.3">
      <c r="A19">
        <v>85</v>
      </c>
      <c r="B19">
        <v>0.23799999999999999</v>
      </c>
      <c r="C19">
        <v>0.20799999999999999</v>
      </c>
      <c r="D19">
        <v>0.188</v>
      </c>
      <c r="E19">
        <v>0.26732673267326701</v>
      </c>
      <c r="F19">
        <v>0.25247524752475198</v>
      </c>
      <c r="G19">
        <v>0.26567656765676501</v>
      </c>
      <c r="H19">
        <v>6.2756000000000006E-2</v>
      </c>
      <c r="I19">
        <v>6.2756000000000006E-2</v>
      </c>
      <c r="J19">
        <v>6.9356000000000001E-2</v>
      </c>
      <c r="K19">
        <v>10116.9</v>
      </c>
      <c r="L19">
        <v>48.66</v>
      </c>
      <c r="N19">
        <f t="shared" si="0"/>
        <v>0.21133333333333329</v>
      </c>
      <c r="O19">
        <f t="shared" si="1"/>
        <v>0.26182618261826129</v>
      </c>
      <c r="P19">
        <f t="shared" si="2"/>
        <v>6.4956E-2</v>
      </c>
    </row>
    <row r="20" spans="1:16" x14ac:dyDescent="0.3">
      <c r="A20">
        <v>90</v>
      </c>
      <c r="B20">
        <v>0.22800000000000001</v>
      </c>
      <c r="C20">
        <v>0.19800000000000001</v>
      </c>
      <c r="D20">
        <v>0.19800000000000001</v>
      </c>
      <c r="E20">
        <v>0.23267326732673199</v>
      </c>
      <c r="F20">
        <v>0.27557755775577503</v>
      </c>
      <c r="G20">
        <v>0.27062706270627002</v>
      </c>
      <c r="H20">
        <v>5.4504999999999998E-2</v>
      </c>
      <c r="I20">
        <v>4.1304E-2</v>
      </c>
      <c r="J20">
        <v>4.6254000000000003E-2</v>
      </c>
      <c r="K20">
        <v>11759.1</v>
      </c>
      <c r="L20">
        <v>66.39</v>
      </c>
      <c r="N20">
        <f t="shared" si="0"/>
        <v>0.20800000000000005</v>
      </c>
      <c r="O20">
        <f t="shared" si="1"/>
        <v>0.25962596259625903</v>
      </c>
      <c r="P20">
        <f t="shared" si="2"/>
        <v>4.7354333333333332E-2</v>
      </c>
    </row>
    <row r="21" spans="1:16" x14ac:dyDescent="0.3">
      <c r="A21">
        <v>95</v>
      </c>
      <c r="B21">
        <v>0.27700000000000002</v>
      </c>
      <c r="C21">
        <v>0.22800000000000001</v>
      </c>
      <c r="D21">
        <v>0.26700000000000002</v>
      </c>
      <c r="E21">
        <v>0.29702970297029702</v>
      </c>
      <c r="F21">
        <v>0.25577557755775499</v>
      </c>
      <c r="G21">
        <v>0.27392739273927302</v>
      </c>
      <c r="H21">
        <v>5.6154999999999997E-2</v>
      </c>
      <c r="I21">
        <v>4.6254000000000003E-2</v>
      </c>
      <c r="J21">
        <v>6.1106000000000001E-2</v>
      </c>
      <c r="K21">
        <v>13409.9</v>
      </c>
      <c r="L21">
        <v>54.44</v>
      </c>
      <c r="N21">
        <f t="shared" si="0"/>
        <v>0.25733333333333336</v>
      </c>
      <c r="O21">
        <f t="shared" si="1"/>
        <v>0.27557755775577503</v>
      </c>
      <c r="P21">
        <f t="shared" si="2"/>
        <v>5.4504999999999998E-2</v>
      </c>
    </row>
    <row r="22" spans="1:16" x14ac:dyDescent="0.3">
      <c r="A22">
        <v>100</v>
      </c>
      <c r="B22">
        <v>0.29699999999999999</v>
      </c>
      <c r="C22">
        <v>0.26700000000000002</v>
      </c>
      <c r="D22">
        <v>0.29699999999999999</v>
      </c>
      <c r="E22">
        <v>0.30693069306930598</v>
      </c>
      <c r="F22">
        <v>0.28217821782178198</v>
      </c>
      <c r="G22">
        <v>0.29867986798679802</v>
      </c>
      <c r="H22">
        <v>6.7706000000000002E-2</v>
      </c>
      <c r="I22">
        <v>5.1205000000000001E-2</v>
      </c>
      <c r="J22">
        <v>6.9356000000000001E-2</v>
      </c>
      <c r="K22">
        <v>15109.2</v>
      </c>
      <c r="L22">
        <v>48.8</v>
      </c>
      <c r="N22">
        <f t="shared" si="0"/>
        <v>0.28699999999999998</v>
      </c>
      <c r="O22">
        <f t="shared" si="1"/>
        <v>0.29592959295929533</v>
      </c>
      <c r="P22">
        <f t="shared" si="2"/>
        <v>6.2755666666666668E-2</v>
      </c>
    </row>
    <row r="23" spans="1:16" x14ac:dyDescent="0.3">
      <c r="A23">
        <v>105</v>
      </c>
      <c r="B23">
        <v>0.317</v>
      </c>
      <c r="C23">
        <v>0.26700000000000002</v>
      </c>
      <c r="D23">
        <v>0.33700000000000002</v>
      </c>
      <c r="E23">
        <v>0.341584158415841</v>
      </c>
      <c r="F23">
        <v>0.29867986798679802</v>
      </c>
      <c r="G23">
        <v>0.34983498349834902</v>
      </c>
      <c r="H23">
        <v>9.2459E-2</v>
      </c>
      <c r="I23">
        <v>7.5956999999999997E-2</v>
      </c>
      <c r="J23">
        <v>8.4208000000000005E-2</v>
      </c>
      <c r="K23">
        <v>16974.400000000001</v>
      </c>
      <c r="L23">
        <v>66.44</v>
      </c>
      <c r="N23">
        <f t="shared" si="0"/>
        <v>0.307</v>
      </c>
      <c r="O23">
        <f t="shared" si="1"/>
        <v>0.33003300330032936</v>
      </c>
      <c r="P23">
        <f t="shared" si="2"/>
        <v>8.4208000000000005E-2</v>
      </c>
    </row>
    <row r="24" spans="1:16" x14ac:dyDescent="0.3">
      <c r="A24">
        <v>110</v>
      </c>
      <c r="B24">
        <v>0.307</v>
      </c>
      <c r="C24">
        <v>0.27700000000000002</v>
      </c>
      <c r="D24">
        <v>0.32700000000000001</v>
      </c>
      <c r="E24">
        <v>0.33333333333333298</v>
      </c>
      <c r="F24">
        <v>0.31188118811881099</v>
      </c>
      <c r="G24">
        <v>0.35478547854785403</v>
      </c>
      <c r="H24">
        <v>4.9554000000000001E-2</v>
      </c>
      <c r="I24">
        <v>4.4603999999999998E-2</v>
      </c>
      <c r="J24">
        <v>5.6154999999999997E-2</v>
      </c>
      <c r="K24">
        <v>18876.900000000001</v>
      </c>
      <c r="L24">
        <v>88.75</v>
      </c>
      <c r="N24">
        <f t="shared" si="0"/>
        <v>0.3036666666666667</v>
      </c>
      <c r="O24">
        <f t="shared" si="1"/>
        <v>0.33333333333333265</v>
      </c>
      <c r="P24">
        <f t="shared" si="2"/>
        <v>5.0104333333333327E-2</v>
      </c>
    </row>
    <row r="25" spans="1:16" x14ac:dyDescent="0.3">
      <c r="A25">
        <v>115</v>
      </c>
      <c r="B25">
        <v>0.33700000000000002</v>
      </c>
      <c r="C25">
        <v>0.317</v>
      </c>
      <c r="D25">
        <v>0.33700000000000002</v>
      </c>
      <c r="E25">
        <v>0.34488448844884401</v>
      </c>
      <c r="F25">
        <v>0.32178217821782101</v>
      </c>
      <c r="G25">
        <v>0.37458745874587401</v>
      </c>
      <c r="H25">
        <v>6.9356000000000001E-2</v>
      </c>
      <c r="I25">
        <v>5.7805000000000002E-2</v>
      </c>
      <c r="J25">
        <v>8.2558000000000006E-2</v>
      </c>
      <c r="K25">
        <v>20830.900000000001</v>
      </c>
      <c r="L25">
        <v>69.8</v>
      </c>
      <c r="N25">
        <f t="shared" si="0"/>
        <v>0.33033333333333337</v>
      </c>
      <c r="O25">
        <f t="shared" si="1"/>
        <v>0.34708470847084633</v>
      </c>
      <c r="P25">
        <f t="shared" si="2"/>
        <v>6.9906333333333334E-2</v>
      </c>
    </row>
    <row r="26" spans="1:16" x14ac:dyDescent="0.3">
      <c r="A26">
        <v>120</v>
      </c>
      <c r="B26">
        <v>0.34699999999999998</v>
      </c>
      <c r="C26">
        <v>0.33700000000000002</v>
      </c>
      <c r="D26">
        <v>0.39600000000000002</v>
      </c>
      <c r="E26">
        <v>0.36303630363036299</v>
      </c>
      <c r="F26">
        <v>0.35643564356435598</v>
      </c>
      <c r="G26">
        <v>0.40264026402640202</v>
      </c>
      <c r="H26">
        <v>0.10070999999999999</v>
      </c>
      <c r="I26">
        <v>7.2656999999999999E-2</v>
      </c>
      <c r="J26">
        <v>0.10566</v>
      </c>
      <c r="K26">
        <v>22967.5</v>
      </c>
      <c r="L26">
        <v>81.34</v>
      </c>
      <c r="N26">
        <f t="shared" si="0"/>
        <v>0.36000000000000004</v>
      </c>
      <c r="O26">
        <f t="shared" si="1"/>
        <v>0.3740374037403737</v>
      </c>
      <c r="P26">
        <f t="shared" si="2"/>
        <v>9.3009000000000008E-2</v>
      </c>
    </row>
    <row r="27" spans="1:16" x14ac:dyDescent="0.3">
      <c r="A27">
        <v>125</v>
      </c>
      <c r="B27">
        <v>0.34699999999999998</v>
      </c>
      <c r="C27">
        <v>0.34699999999999998</v>
      </c>
      <c r="D27">
        <v>0.39600000000000002</v>
      </c>
      <c r="E27">
        <v>0.38778877887788699</v>
      </c>
      <c r="F27">
        <v>0.34488448844884401</v>
      </c>
      <c r="G27">
        <v>0.419141914191419</v>
      </c>
      <c r="H27">
        <v>8.7508000000000002E-2</v>
      </c>
      <c r="I27">
        <v>8.0907999999999994E-2</v>
      </c>
      <c r="J27">
        <v>8.5858000000000004E-2</v>
      </c>
      <c r="K27">
        <v>25094</v>
      </c>
      <c r="L27">
        <v>91.27</v>
      </c>
      <c r="N27">
        <f t="shared" si="0"/>
        <v>0.36333333333333329</v>
      </c>
      <c r="O27">
        <f t="shared" si="1"/>
        <v>0.38393839383938327</v>
      </c>
      <c r="P27">
        <f t="shared" si="2"/>
        <v>8.4758E-2</v>
      </c>
    </row>
    <row r="28" spans="1:16" x14ac:dyDescent="0.3">
      <c r="A28">
        <v>130</v>
      </c>
      <c r="B28">
        <v>0.36599999999999999</v>
      </c>
      <c r="C28">
        <v>0.35599999999999998</v>
      </c>
      <c r="D28">
        <v>0.41599999999999998</v>
      </c>
      <c r="E28">
        <v>0.37953795379537902</v>
      </c>
      <c r="F28">
        <v>0.392739273927392</v>
      </c>
      <c r="G28">
        <v>0.39933993399339901</v>
      </c>
      <c r="H28">
        <v>9.7408999999999996E-2</v>
      </c>
      <c r="I28">
        <v>9.5758999999999997E-2</v>
      </c>
      <c r="J28">
        <v>0.112261</v>
      </c>
      <c r="K28">
        <v>27309.5</v>
      </c>
      <c r="L28">
        <v>122.2</v>
      </c>
      <c r="N28">
        <f t="shared" si="0"/>
        <v>0.3793333333333333</v>
      </c>
      <c r="O28">
        <f t="shared" si="1"/>
        <v>0.39053905390538995</v>
      </c>
      <c r="P28">
        <f t="shared" si="2"/>
        <v>0.10180966666666667</v>
      </c>
    </row>
    <row r="29" spans="1:16" x14ac:dyDescent="0.3">
      <c r="A29">
        <v>135</v>
      </c>
      <c r="B29">
        <v>0.40600000000000003</v>
      </c>
      <c r="C29">
        <v>0.41599999999999998</v>
      </c>
      <c r="D29">
        <v>0.44600000000000001</v>
      </c>
      <c r="E29">
        <v>0.42574257425742501</v>
      </c>
      <c r="F29">
        <v>0.43564356435643498</v>
      </c>
      <c r="G29">
        <v>0.46369636963696298</v>
      </c>
      <c r="H29">
        <v>0.10401000000000001</v>
      </c>
      <c r="I29">
        <v>8.5858000000000004E-2</v>
      </c>
      <c r="J29">
        <v>0.117261</v>
      </c>
      <c r="K29">
        <v>29716.2</v>
      </c>
      <c r="L29">
        <v>173.67</v>
      </c>
      <c r="N29">
        <f t="shared" si="0"/>
        <v>0.42266666666666669</v>
      </c>
      <c r="O29">
        <f t="shared" si="1"/>
        <v>0.44169416941694095</v>
      </c>
      <c r="P29">
        <f t="shared" si="2"/>
        <v>0.10237633333333333</v>
      </c>
    </row>
    <row r="30" spans="1:16" x14ac:dyDescent="0.3">
      <c r="A30">
        <v>140</v>
      </c>
      <c r="B30">
        <v>0.42599999999999999</v>
      </c>
      <c r="C30">
        <v>0.44600000000000001</v>
      </c>
      <c r="D30">
        <v>0.48499999999999999</v>
      </c>
      <c r="E30">
        <v>0.43069306930693002</v>
      </c>
      <c r="F30">
        <v>0.475247524752475</v>
      </c>
      <c r="G30">
        <v>0.498349834983498</v>
      </c>
      <c r="H30">
        <v>0.11886099999999999</v>
      </c>
      <c r="I30">
        <v>0.10401000000000001</v>
      </c>
      <c r="J30">
        <v>0.13866300000000001</v>
      </c>
      <c r="K30">
        <v>32072.1</v>
      </c>
      <c r="L30">
        <v>99.73</v>
      </c>
      <c r="N30">
        <f t="shared" si="0"/>
        <v>0.45233333333333331</v>
      </c>
      <c r="O30">
        <f t="shared" si="1"/>
        <v>0.46809680968096767</v>
      </c>
      <c r="P30">
        <f t="shared" si="2"/>
        <v>0.12051133333333335</v>
      </c>
    </row>
    <row r="31" spans="1:16" x14ac:dyDescent="0.3">
      <c r="A31">
        <v>145</v>
      </c>
      <c r="B31">
        <v>0.44600000000000001</v>
      </c>
      <c r="C31">
        <v>0.41599999999999998</v>
      </c>
      <c r="D31">
        <v>0.47499999999999998</v>
      </c>
      <c r="E31">
        <v>0.445544554455445</v>
      </c>
      <c r="F31">
        <v>0.41254125412541198</v>
      </c>
      <c r="G31">
        <v>0.49339933993399299</v>
      </c>
      <c r="H31">
        <v>0.17496700000000001</v>
      </c>
      <c r="I31">
        <v>0.13536300000000001</v>
      </c>
      <c r="J31">
        <v>0.188168</v>
      </c>
      <c r="K31">
        <v>34543</v>
      </c>
      <c r="L31">
        <v>122.67</v>
      </c>
      <c r="N31">
        <f t="shared" si="0"/>
        <v>0.44566666666666666</v>
      </c>
      <c r="O31">
        <f t="shared" si="1"/>
        <v>0.45049504950495001</v>
      </c>
      <c r="P31">
        <f t="shared" si="2"/>
        <v>0.16616600000000001</v>
      </c>
    </row>
    <row r="32" spans="1:16" x14ac:dyDescent="0.3">
      <c r="A32">
        <v>150</v>
      </c>
      <c r="B32">
        <v>0.44600000000000001</v>
      </c>
      <c r="C32">
        <v>0.44600000000000001</v>
      </c>
      <c r="D32">
        <v>0.495</v>
      </c>
      <c r="E32">
        <v>0.43894389438943798</v>
      </c>
      <c r="F32">
        <v>0.46039603960395997</v>
      </c>
      <c r="G32">
        <v>0.528052805280528</v>
      </c>
      <c r="H32">
        <v>0.15021499999999999</v>
      </c>
      <c r="I32">
        <v>0.113911</v>
      </c>
      <c r="J32">
        <v>0.15681500000000001</v>
      </c>
      <c r="K32">
        <v>37171.300000000003</v>
      </c>
      <c r="L32">
        <v>167.08</v>
      </c>
      <c r="N32">
        <f t="shared" si="0"/>
        <v>0.46233333333333332</v>
      </c>
      <c r="O32">
        <f t="shared" si="1"/>
        <v>0.47579757975797526</v>
      </c>
      <c r="P32">
        <f t="shared" si="2"/>
        <v>0.14031366666666667</v>
      </c>
    </row>
    <row r="33" spans="1:16" x14ac:dyDescent="0.3">
      <c r="A33">
        <v>155</v>
      </c>
      <c r="B33">
        <v>0.495</v>
      </c>
      <c r="C33">
        <v>0.47499999999999998</v>
      </c>
      <c r="D33">
        <v>0.53500000000000003</v>
      </c>
      <c r="E33">
        <v>0.51320132013201303</v>
      </c>
      <c r="F33">
        <v>0.50495049504950495</v>
      </c>
      <c r="G33">
        <v>0.52970297029702895</v>
      </c>
      <c r="H33">
        <v>0.16341600000000001</v>
      </c>
      <c r="I33">
        <v>0.166716</v>
      </c>
      <c r="J33">
        <v>0.17991699999999999</v>
      </c>
      <c r="K33">
        <v>37816.699999999997</v>
      </c>
      <c r="L33">
        <v>13.47</v>
      </c>
      <c r="N33">
        <f t="shared" si="0"/>
        <v>0.50166666666666659</v>
      </c>
      <c r="O33">
        <f t="shared" si="1"/>
        <v>0.51595159515951561</v>
      </c>
      <c r="P33">
        <f t="shared" si="2"/>
        <v>0.17001633333333332</v>
      </c>
    </row>
    <row r="34" spans="1:16" x14ac:dyDescent="0.3">
      <c r="A34">
        <v>160</v>
      </c>
      <c r="B34">
        <v>0.505</v>
      </c>
      <c r="C34">
        <v>0.52500000000000002</v>
      </c>
      <c r="D34">
        <v>0.58399999999999996</v>
      </c>
      <c r="E34">
        <v>0.51815181518151798</v>
      </c>
      <c r="F34">
        <v>0.54125412541254103</v>
      </c>
      <c r="G34">
        <v>0.58745874587458702</v>
      </c>
      <c r="H34">
        <v>0.18156800000000001</v>
      </c>
      <c r="I34">
        <v>0.18156800000000001</v>
      </c>
      <c r="J34">
        <v>0.20962</v>
      </c>
      <c r="K34">
        <v>7160.5</v>
      </c>
      <c r="L34">
        <v>14.25</v>
      </c>
      <c r="N34">
        <f t="shared" si="0"/>
        <v>0.53799999999999992</v>
      </c>
      <c r="O34">
        <f t="shared" si="1"/>
        <v>0.54895489548954868</v>
      </c>
      <c r="P34">
        <f t="shared" si="2"/>
        <v>0.19091866666666668</v>
      </c>
    </row>
    <row r="35" spans="1:16" x14ac:dyDescent="0.3">
      <c r="A35">
        <v>165</v>
      </c>
      <c r="B35">
        <v>0.55400000000000005</v>
      </c>
      <c r="C35">
        <v>0.55400000000000005</v>
      </c>
      <c r="D35">
        <v>0.58399999999999996</v>
      </c>
      <c r="E35">
        <v>0.56105610561056096</v>
      </c>
      <c r="F35">
        <v>0.54620462046204599</v>
      </c>
      <c r="G35">
        <v>0.61056105610560996</v>
      </c>
      <c r="H35">
        <v>0.21787100000000001</v>
      </c>
      <c r="I35">
        <v>0.20466999999999999</v>
      </c>
      <c r="J35">
        <v>0.231073</v>
      </c>
      <c r="K35">
        <v>8802.7999999999993</v>
      </c>
      <c r="L35">
        <v>50.22</v>
      </c>
      <c r="N35">
        <f t="shared" si="0"/>
        <v>0.56400000000000006</v>
      </c>
      <c r="O35">
        <f t="shared" si="1"/>
        <v>0.57260726072607238</v>
      </c>
      <c r="P35">
        <f t="shared" si="2"/>
        <v>0.21787133333333333</v>
      </c>
    </row>
    <row r="36" spans="1:16" x14ac:dyDescent="0.3">
      <c r="A36">
        <v>170</v>
      </c>
      <c r="B36">
        <v>0.58399999999999996</v>
      </c>
      <c r="C36">
        <v>0.56399999999999995</v>
      </c>
      <c r="D36">
        <v>0.61399999999999999</v>
      </c>
      <c r="E36">
        <v>0.57590759075907505</v>
      </c>
      <c r="F36">
        <v>0.57260726072607204</v>
      </c>
      <c r="G36">
        <v>0.61881188118811803</v>
      </c>
      <c r="H36">
        <v>0.25087500000000001</v>
      </c>
      <c r="I36">
        <v>0.27562700000000001</v>
      </c>
      <c r="J36">
        <v>0.29377900000000001</v>
      </c>
      <c r="K36">
        <v>11636.4</v>
      </c>
      <c r="L36">
        <v>68.34</v>
      </c>
      <c r="N36">
        <f t="shared" si="0"/>
        <v>0.58733333333333337</v>
      </c>
      <c r="O36">
        <f t="shared" si="1"/>
        <v>0.58910891089108841</v>
      </c>
      <c r="P36">
        <f t="shared" si="2"/>
        <v>0.27342700000000003</v>
      </c>
    </row>
    <row r="37" spans="1:16" x14ac:dyDescent="0.3">
      <c r="A37">
        <v>175</v>
      </c>
      <c r="B37">
        <v>0.57399999999999995</v>
      </c>
      <c r="C37">
        <v>0.61399999999999999</v>
      </c>
      <c r="D37">
        <v>0.63400000000000001</v>
      </c>
      <c r="E37">
        <v>0.59240924092409197</v>
      </c>
      <c r="F37">
        <v>0.62706270627062699</v>
      </c>
      <c r="G37">
        <v>0.633663366336633</v>
      </c>
      <c r="H37">
        <v>0.24757399999999999</v>
      </c>
      <c r="I37">
        <v>0.25417499999999998</v>
      </c>
      <c r="J37">
        <v>0.285528</v>
      </c>
      <c r="K37">
        <v>14636.5</v>
      </c>
      <c r="L37">
        <v>122.25</v>
      </c>
      <c r="N37">
        <f t="shared" si="0"/>
        <v>0.60733333333333339</v>
      </c>
      <c r="O37">
        <f t="shared" si="1"/>
        <v>0.61771177117711729</v>
      </c>
      <c r="P37">
        <f t="shared" si="2"/>
        <v>0.26242566666666667</v>
      </c>
    </row>
    <row r="38" spans="1:16" x14ac:dyDescent="0.3">
      <c r="A38">
        <v>180</v>
      </c>
      <c r="B38">
        <v>0.60399999999999998</v>
      </c>
      <c r="C38">
        <v>0.63400000000000001</v>
      </c>
      <c r="D38">
        <v>0.67300000000000004</v>
      </c>
      <c r="E38">
        <v>0.60396039603960305</v>
      </c>
      <c r="F38">
        <v>0.63696369636963701</v>
      </c>
      <c r="G38">
        <v>0.67821782178217804</v>
      </c>
      <c r="H38">
        <v>0.285528</v>
      </c>
      <c r="I38">
        <v>0.29047899999999999</v>
      </c>
      <c r="J38">
        <v>0.30863000000000002</v>
      </c>
      <c r="K38">
        <v>17753.5</v>
      </c>
      <c r="L38">
        <v>120.45</v>
      </c>
      <c r="N38">
        <f t="shared" si="0"/>
        <v>0.63700000000000001</v>
      </c>
      <c r="O38">
        <f t="shared" si="1"/>
        <v>0.63971397139713926</v>
      </c>
      <c r="P38">
        <f t="shared" si="2"/>
        <v>0.29487899999999995</v>
      </c>
    </row>
    <row r="39" spans="1:16" x14ac:dyDescent="0.3">
      <c r="A39">
        <v>185</v>
      </c>
      <c r="B39">
        <v>0.624</v>
      </c>
      <c r="C39">
        <v>0.66300000000000003</v>
      </c>
      <c r="D39">
        <v>0.67300000000000004</v>
      </c>
      <c r="E39">
        <v>0.62871287128712805</v>
      </c>
      <c r="F39">
        <v>0.66336633663366296</v>
      </c>
      <c r="G39">
        <v>0.68151815181518105</v>
      </c>
      <c r="H39">
        <v>0.267376</v>
      </c>
      <c r="I39">
        <v>0.26077600000000001</v>
      </c>
      <c r="J39">
        <v>0.30368000000000001</v>
      </c>
      <c r="K39">
        <v>21006.2</v>
      </c>
      <c r="L39">
        <v>161.30000000000001</v>
      </c>
      <c r="N39">
        <f t="shared" si="0"/>
        <v>0.65333333333333332</v>
      </c>
      <c r="O39">
        <f t="shared" si="1"/>
        <v>0.65786578657865735</v>
      </c>
      <c r="P39">
        <f t="shared" si="2"/>
        <v>0.27727733333333332</v>
      </c>
    </row>
    <row r="40" spans="1:16" x14ac:dyDescent="0.3">
      <c r="A40">
        <v>190</v>
      </c>
      <c r="B40">
        <v>0.66300000000000003</v>
      </c>
      <c r="C40">
        <v>0.69299999999999995</v>
      </c>
      <c r="D40">
        <v>0.73299999999999998</v>
      </c>
      <c r="E40">
        <v>0.67326732673267298</v>
      </c>
      <c r="F40">
        <v>0.68481848184818395</v>
      </c>
      <c r="G40">
        <v>0.73102310231023004</v>
      </c>
      <c r="H40">
        <v>0.24757399999999999</v>
      </c>
      <c r="I40">
        <v>0.28057799999999999</v>
      </c>
      <c r="J40">
        <v>0.31028099999999997</v>
      </c>
      <c r="K40">
        <v>23947</v>
      </c>
      <c r="L40">
        <v>103</v>
      </c>
      <c r="N40">
        <f t="shared" si="0"/>
        <v>0.69633333333333336</v>
      </c>
      <c r="O40">
        <f t="shared" si="1"/>
        <v>0.69636963696369569</v>
      </c>
      <c r="P40">
        <f t="shared" si="2"/>
        <v>0.27947766666666668</v>
      </c>
    </row>
    <row r="41" spans="1:16" x14ac:dyDescent="0.3">
      <c r="A41">
        <v>195</v>
      </c>
      <c r="B41">
        <v>0.66300000000000003</v>
      </c>
      <c r="C41">
        <v>0.70299999999999996</v>
      </c>
      <c r="D41">
        <v>0.72299999999999998</v>
      </c>
      <c r="E41">
        <v>0.66501650165016502</v>
      </c>
      <c r="F41">
        <v>0.69306930693069302</v>
      </c>
      <c r="G41">
        <v>0.73432343234323405</v>
      </c>
      <c r="H41">
        <v>0.32018200000000002</v>
      </c>
      <c r="I41">
        <v>0.33668300000000001</v>
      </c>
      <c r="J41">
        <v>0.36968600000000001</v>
      </c>
      <c r="K41">
        <v>27163.1</v>
      </c>
      <c r="L41">
        <v>133.41</v>
      </c>
      <c r="N41">
        <f t="shared" si="0"/>
        <v>0.69633333333333336</v>
      </c>
      <c r="O41">
        <f t="shared" si="1"/>
        <v>0.69746974697469744</v>
      </c>
      <c r="P41">
        <f t="shared" si="2"/>
        <v>0.34218366666666666</v>
      </c>
    </row>
    <row r="42" spans="1:16" x14ac:dyDescent="0.3">
      <c r="A42">
        <v>200</v>
      </c>
      <c r="B42">
        <v>0.67300000000000004</v>
      </c>
      <c r="C42">
        <v>0.71299999999999997</v>
      </c>
      <c r="D42">
        <v>0.73299999999999998</v>
      </c>
      <c r="E42">
        <v>0.66831683168316802</v>
      </c>
      <c r="F42">
        <v>0.70627062706270605</v>
      </c>
      <c r="G42">
        <v>0.735973597359735</v>
      </c>
      <c r="H42">
        <v>0.31688100000000002</v>
      </c>
      <c r="I42">
        <v>0.30863000000000002</v>
      </c>
      <c r="J42">
        <v>0.31523099999999998</v>
      </c>
      <c r="K42">
        <v>30580.799999999999</v>
      </c>
      <c r="L42">
        <v>119.23</v>
      </c>
      <c r="N42">
        <f t="shared" si="0"/>
        <v>0.70633333333333337</v>
      </c>
      <c r="O42">
        <f t="shared" si="1"/>
        <v>0.70352035203520302</v>
      </c>
      <c r="P42">
        <f t="shared" si="2"/>
        <v>0.31358066666666667</v>
      </c>
    </row>
    <row r="43" spans="1:16" x14ac:dyDescent="0.3">
      <c r="A43">
        <v>205</v>
      </c>
      <c r="B43">
        <v>0.71299999999999997</v>
      </c>
      <c r="C43">
        <v>0.73299999999999998</v>
      </c>
      <c r="D43">
        <v>0.77200000000000002</v>
      </c>
      <c r="E43">
        <v>0.71452145214521401</v>
      </c>
      <c r="F43">
        <v>0.72277227722772197</v>
      </c>
      <c r="G43">
        <v>0.74752475247524697</v>
      </c>
      <c r="H43">
        <v>0.33008300000000002</v>
      </c>
      <c r="I43">
        <v>0.37298700000000001</v>
      </c>
      <c r="J43">
        <v>0.35813499999999998</v>
      </c>
      <c r="K43">
        <v>34125.9</v>
      </c>
      <c r="L43">
        <v>190.12</v>
      </c>
      <c r="N43">
        <f t="shared" si="0"/>
        <v>0.73933333333333329</v>
      </c>
      <c r="O43">
        <f t="shared" si="1"/>
        <v>0.72827282728272769</v>
      </c>
      <c r="P43">
        <f t="shared" si="2"/>
        <v>0.35373500000000008</v>
      </c>
    </row>
    <row r="44" spans="1:16" x14ac:dyDescent="0.3">
      <c r="A44">
        <v>210</v>
      </c>
      <c r="B44">
        <v>0.752</v>
      </c>
      <c r="C44">
        <v>0.76200000000000001</v>
      </c>
      <c r="D44">
        <v>0.77200000000000002</v>
      </c>
      <c r="E44">
        <v>0.74917491749174903</v>
      </c>
      <c r="F44">
        <v>0.74917491749174903</v>
      </c>
      <c r="G44">
        <v>0.76072607260726</v>
      </c>
      <c r="H44">
        <v>0.43074299999999999</v>
      </c>
      <c r="I44">
        <v>0.43899300000000002</v>
      </c>
      <c r="J44">
        <v>0.47034700000000002</v>
      </c>
      <c r="K44">
        <v>36821.1</v>
      </c>
      <c r="L44">
        <v>262.58</v>
      </c>
      <c r="N44">
        <f t="shared" si="0"/>
        <v>0.76200000000000001</v>
      </c>
      <c r="O44">
        <f t="shared" si="1"/>
        <v>0.75302530253025279</v>
      </c>
      <c r="P44">
        <f t="shared" si="2"/>
        <v>0.44669433333333336</v>
      </c>
    </row>
    <row r="45" spans="1:16" x14ac:dyDescent="0.3">
      <c r="A45">
        <v>215</v>
      </c>
      <c r="B45">
        <v>0.752</v>
      </c>
      <c r="C45">
        <v>0.78200000000000003</v>
      </c>
      <c r="D45">
        <v>0.78200000000000003</v>
      </c>
      <c r="E45">
        <v>0.75907590759075905</v>
      </c>
      <c r="F45">
        <v>0.77062706270627002</v>
      </c>
      <c r="G45">
        <v>0.79207920792079201</v>
      </c>
      <c r="H45">
        <v>0.41919099999999998</v>
      </c>
      <c r="I45">
        <v>0.44724399999999997</v>
      </c>
      <c r="J45">
        <v>0.45054499999999997</v>
      </c>
      <c r="K45">
        <v>38493.4</v>
      </c>
      <c r="L45">
        <v>18.47</v>
      </c>
      <c r="N45">
        <f t="shared" si="0"/>
        <v>0.77199999999999991</v>
      </c>
      <c r="O45">
        <f t="shared" si="1"/>
        <v>0.77392739273927369</v>
      </c>
      <c r="P45">
        <f t="shared" si="2"/>
        <v>0.43899333333333335</v>
      </c>
    </row>
    <row r="46" spans="1:16" x14ac:dyDescent="0.3">
      <c r="A46">
        <v>220</v>
      </c>
      <c r="B46">
        <v>0.79200000000000004</v>
      </c>
      <c r="C46">
        <v>0.78200000000000003</v>
      </c>
      <c r="D46">
        <v>0.83199999999999996</v>
      </c>
      <c r="E46">
        <v>0.77887788778877798</v>
      </c>
      <c r="F46">
        <v>0.76897689768976896</v>
      </c>
      <c r="G46">
        <v>0.80858085808580804</v>
      </c>
      <c r="H46">
        <v>0.40928999999999999</v>
      </c>
      <c r="I46">
        <v>0.389488</v>
      </c>
      <c r="J46">
        <v>0.42909199999999997</v>
      </c>
      <c r="K46">
        <v>11871.5</v>
      </c>
      <c r="L46">
        <v>61.98</v>
      </c>
      <c r="N46">
        <f t="shared" si="0"/>
        <v>0.80200000000000005</v>
      </c>
      <c r="O46">
        <f t="shared" si="1"/>
        <v>0.78547854785478499</v>
      </c>
      <c r="P46">
        <f t="shared" si="2"/>
        <v>0.40928999999999999</v>
      </c>
    </row>
    <row r="47" spans="1:16" x14ac:dyDescent="0.3">
      <c r="A47">
        <v>225</v>
      </c>
      <c r="B47">
        <v>0.78200000000000003</v>
      </c>
      <c r="C47">
        <v>0.78200000000000003</v>
      </c>
      <c r="D47">
        <v>0.84199999999999997</v>
      </c>
      <c r="E47">
        <v>0.78547854785478499</v>
      </c>
      <c r="F47">
        <v>0.76732673267326701</v>
      </c>
      <c r="G47">
        <v>0.82178217821782096</v>
      </c>
      <c r="H47">
        <v>0.42414200000000002</v>
      </c>
      <c r="I47">
        <v>0.43239300000000003</v>
      </c>
      <c r="J47">
        <v>0.45879500000000001</v>
      </c>
      <c r="K47">
        <v>14100.7</v>
      </c>
      <c r="L47">
        <v>73.64</v>
      </c>
      <c r="N47">
        <f t="shared" si="0"/>
        <v>0.80200000000000005</v>
      </c>
      <c r="O47">
        <f t="shared" si="1"/>
        <v>0.79152915291529113</v>
      </c>
      <c r="P47">
        <f t="shared" si="2"/>
        <v>0.43844333333333335</v>
      </c>
    </row>
    <row r="48" spans="1:16" x14ac:dyDescent="0.3">
      <c r="A48">
        <v>230</v>
      </c>
      <c r="B48">
        <v>0.86099999999999999</v>
      </c>
      <c r="C48">
        <v>0.81200000000000006</v>
      </c>
      <c r="D48">
        <v>0.871</v>
      </c>
      <c r="E48">
        <v>0.86303630363036299</v>
      </c>
      <c r="F48">
        <v>0.813531353135313</v>
      </c>
      <c r="G48">
        <v>0.87293729372937301</v>
      </c>
      <c r="H48">
        <v>0.58255800000000002</v>
      </c>
      <c r="I48">
        <v>0.59740899999999997</v>
      </c>
      <c r="J48">
        <v>0.61886099999999999</v>
      </c>
      <c r="K48">
        <v>18137.400000000001</v>
      </c>
      <c r="L48">
        <v>316.06</v>
      </c>
      <c r="N48">
        <f t="shared" si="0"/>
        <v>0.84799999999999998</v>
      </c>
      <c r="O48">
        <f t="shared" si="1"/>
        <v>0.84983498349834974</v>
      </c>
      <c r="P48">
        <f t="shared" si="2"/>
        <v>0.59960933333333333</v>
      </c>
    </row>
    <row r="49" spans="1:16" x14ac:dyDescent="0.3">
      <c r="A49">
        <v>235</v>
      </c>
      <c r="B49">
        <v>0.83199999999999996</v>
      </c>
      <c r="C49">
        <v>0.80200000000000005</v>
      </c>
      <c r="D49">
        <v>0.86099999999999999</v>
      </c>
      <c r="E49">
        <v>0.82673267326732602</v>
      </c>
      <c r="F49">
        <v>0.80528052805280503</v>
      </c>
      <c r="G49">
        <v>0.85973597359735898</v>
      </c>
      <c r="H49">
        <v>0.45549499999999998</v>
      </c>
      <c r="I49">
        <v>0.48849799999999999</v>
      </c>
      <c r="J49">
        <v>0.490149</v>
      </c>
      <c r="K49">
        <v>22153.3</v>
      </c>
      <c r="L49">
        <v>174.73</v>
      </c>
      <c r="N49">
        <f t="shared" si="0"/>
        <v>0.83166666666666667</v>
      </c>
      <c r="O49">
        <f t="shared" si="1"/>
        <v>0.8305830583058299</v>
      </c>
      <c r="P49">
        <f t="shared" si="2"/>
        <v>0.47804733333333332</v>
      </c>
    </row>
    <row r="50" spans="1:16" x14ac:dyDescent="0.3">
      <c r="A50">
        <v>240</v>
      </c>
      <c r="B50">
        <v>0.84199999999999997</v>
      </c>
      <c r="C50">
        <v>0.82199999999999995</v>
      </c>
      <c r="D50">
        <v>0.88100000000000001</v>
      </c>
      <c r="E50">
        <v>0.83498349834983498</v>
      </c>
      <c r="F50">
        <v>0.813531353135313</v>
      </c>
      <c r="G50">
        <v>0.87458745874587396</v>
      </c>
      <c r="H50">
        <v>0.51490100000000005</v>
      </c>
      <c r="I50">
        <v>0.50665000000000004</v>
      </c>
      <c r="J50">
        <v>0.56935599999999997</v>
      </c>
      <c r="K50">
        <v>24145.3</v>
      </c>
      <c r="L50">
        <v>115.73</v>
      </c>
      <c r="N50">
        <f t="shared" si="0"/>
        <v>0.84833333333333327</v>
      </c>
      <c r="O50">
        <f t="shared" si="1"/>
        <v>0.84103410341034068</v>
      </c>
      <c r="P50">
        <f t="shared" si="2"/>
        <v>0.53030233333333332</v>
      </c>
    </row>
    <row r="51" spans="1:16" x14ac:dyDescent="0.3">
      <c r="A51">
        <v>245</v>
      </c>
      <c r="B51">
        <v>0.86099999999999999</v>
      </c>
      <c r="C51">
        <v>0.81200000000000006</v>
      </c>
      <c r="D51">
        <v>0.89100000000000001</v>
      </c>
      <c r="E51">
        <v>0.85313531353135297</v>
      </c>
      <c r="F51">
        <v>0.81023102310230999</v>
      </c>
      <c r="G51">
        <v>0.87788778877887796</v>
      </c>
      <c r="H51">
        <v>0.56440599999999996</v>
      </c>
      <c r="I51">
        <v>0.529752</v>
      </c>
      <c r="J51">
        <v>0.57430700000000001</v>
      </c>
      <c r="K51">
        <v>28059.5</v>
      </c>
      <c r="L51">
        <v>143.78</v>
      </c>
      <c r="N51">
        <f t="shared" si="0"/>
        <v>0.85466666666666669</v>
      </c>
      <c r="O51">
        <f t="shared" si="1"/>
        <v>0.84708470847084705</v>
      </c>
      <c r="P51">
        <f t="shared" si="2"/>
        <v>0.55615499999999995</v>
      </c>
    </row>
    <row r="52" spans="1:16" x14ac:dyDescent="0.3">
      <c r="A52">
        <v>250</v>
      </c>
      <c r="B52">
        <v>0.86099999999999999</v>
      </c>
      <c r="C52">
        <v>0.83199999999999996</v>
      </c>
      <c r="D52">
        <v>0.88100000000000001</v>
      </c>
      <c r="E52">
        <v>0.85808580858085803</v>
      </c>
      <c r="F52">
        <v>0.83498349834983498</v>
      </c>
      <c r="G52">
        <v>0.87458745874587396</v>
      </c>
      <c r="H52">
        <v>0.54295400000000005</v>
      </c>
      <c r="I52">
        <v>0.55120499999999995</v>
      </c>
      <c r="J52">
        <v>0.54460399999999998</v>
      </c>
      <c r="K52">
        <v>31709.4</v>
      </c>
      <c r="L52">
        <v>185.22</v>
      </c>
      <c r="N52">
        <f t="shared" si="0"/>
        <v>0.85799999999999998</v>
      </c>
      <c r="O52">
        <f t="shared" si="1"/>
        <v>0.85588558855885566</v>
      </c>
      <c r="P52">
        <f t="shared" si="2"/>
        <v>0.54625433333333329</v>
      </c>
    </row>
    <row r="53" spans="1:16" x14ac:dyDescent="0.3">
      <c r="A53">
        <v>255</v>
      </c>
      <c r="B53">
        <v>0.871</v>
      </c>
      <c r="C53">
        <v>0.83199999999999996</v>
      </c>
      <c r="D53">
        <v>0.88100000000000001</v>
      </c>
      <c r="E53">
        <v>0.87623762376237602</v>
      </c>
      <c r="F53">
        <v>0.82838283828382797</v>
      </c>
      <c r="G53">
        <v>0.88283828382838203</v>
      </c>
      <c r="H53">
        <v>0.62051199999999995</v>
      </c>
      <c r="I53">
        <v>0.63536300000000001</v>
      </c>
      <c r="J53">
        <v>0.66836600000000002</v>
      </c>
      <c r="K53">
        <v>35929.4</v>
      </c>
      <c r="L53">
        <v>1116.53</v>
      </c>
      <c r="N53">
        <f t="shared" si="0"/>
        <v>0.86133333333333317</v>
      </c>
      <c r="O53">
        <f t="shared" si="1"/>
        <v>0.86248624862486201</v>
      </c>
      <c r="P53">
        <f t="shared" si="2"/>
        <v>0.64141366666666666</v>
      </c>
    </row>
    <row r="54" spans="1:16" x14ac:dyDescent="0.3">
      <c r="A54">
        <v>260</v>
      </c>
      <c r="B54">
        <v>0.89100000000000001</v>
      </c>
      <c r="C54">
        <v>0.84199999999999997</v>
      </c>
      <c r="D54">
        <v>0.89100000000000001</v>
      </c>
      <c r="E54">
        <v>0.88613861386138604</v>
      </c>
      <c r="F54">
        <v>0.83828382838283799</v>
      </c>
      <c r="G54">
        <v>0.89108910891089099</v>
      </c>
      <c r="H54">
        <v>0.68486800000000003</v>
      </c>
      <c r="I54">
        <v>0.67661700000000002</v>
      </c>
      <c r="J54">
        <v>0.73932299999999995</v>
      </c>
      <c r="K54">
        <v>21439.200000000001</v>
      </c>
      <c r="L54">
        <v>43.08</v>
      </c>
      <c r="N54">
        <f t="shared" si="0"/>
        <v>0.8746666666666667</v>
      </c>
      <c r="O54">
        <f t="shared" si="1"/>
        <v>0.87183718371837171</v>
      </c>
      <c r="P54">
        <f t="shared" si="2"/>
        <v>0.7002693333333333</v>
      </c>
    </row>
    <row r="55" spans="1:16" x14ac:dyDescent="0.3">
      <c r="A55">
        <v>265</v>
      </c>
      <c r="B55">
        <v>0.89100000000000001</v>
      </c>
      <c r="C55">
        <v>0.85099999999999998</v>
      </c>
      <c r="D55">
        <v>0.90100000000000002</v>
      </c>
      <c r="E55">
        <v>0.89108910891089099</v>
      </c>
      <c r="F55">
        <v>0.84983498349834896</v>
      </c>
      <c r="G55">
        <v>0.89768976897689701</v>
      </c>
      <c r="H55">
        <v>0.57100700000000004</v>
      </c>
      <c r="I55">
        <v>0.61886099999999999</v>
      </c>
      <c r="J55">
        <v>0.64691399999999999</v>
      </c>
      <c r="K55">
        <v>11925.3</v>
      </c>
      <c r="L55">
        <v>107.02</v>
      </c>
      <c r="N55">
        <f t="shared" si="0"/>
        <v>0.88099999999999989</v>
      </c>
      <c r="O55">
        <f t="shared" si="1"/>
        <v>0.87953795379537902</v>
      </c>
      <c r="P55">
        <f t="shared" si="2"/>
        <v>0.61226066666666668</v>
      </c>
    </row>
    <row r="56" spans="1:16" x14ac:dyDescent="0.3">
      <c r="A56">
        <v>270</v>
      </c>
      <c r="B56">
        <v>0.90100000000000002</v>
      </c>
      <c r="C56">
        <v>0.86099999999999999</v>
      </c>
      <c r="D56">
        <v>0.90100000000000002</v>
      </c>
      <c r="E56">
        <v>0.89933993399339895</v>
      </c>
      <c r="F56">
        <v>0.86138613861386104</v>
      </c>
      <c r="G56">
        <v>0.90099009900990101</v>
      </c>
      <c r="H56">
        <v>0.71952099999999997</v>
      </c>
      <c r="I56">
        <v>0.72117200000000004</v>
      </c>
      <c r="J56">
        <v>0.74757399999999996</v>
      </c>
      <c r="K56">
        <v>15848.5</v>
      </c>
      <c r="L56">
        <v>204.44</v>
      </c>
      <c r="N56">
        <f t="shared" si="0"/>
        <v>0.88766666666666671</v>
      </c>
      <c r="O56">
        <f t="shared" si="1"/>
        <v>0.887238723872387</v>
      </c>
      <c r="P56">
        <f t="shared" si="2"/>
        <v>0.72942233333333328</v>
      </c>
    </row>
    <row r="57" spans="1:16" x14ac:dyDescent="0.3">
      <c r="A57">
        <v>275</v>
      </c>
      <c r="B57">
        <v>0.90100000000000002</v>
      </c>
      <c r="C57">
        <v>0.85099999999999998</v>
      </c>
      <c r="D57">
        <v>0.90100000000000002</v>
      </c>
      <c r="E57">
        <v>0.90099009900990101</v>
      </c>
      <c r="F57">
        <v>0.85313531353135297</v>
      </c>
      <c r="G57">
        <v>0.90099009900990101</v>
      </c>
      <c r="H57">
        <v>0.716221</v>
      </c>
      <c r="I57">
        <v>0.68486800000000003</v>
      </c>
      <c r="J57">
        <v>0.73272300000000001</v>
      </c>
      <c r="K57">
        <v>20320</v>
      </c>
      <c r="L57">
        <v>173</v>
      </c>
      <c r="N57">
        <f t="shared" si="0"/>
        <v>0.8843333333333333</v>
      </c>
      <c r="O57">
        <f t="shared" si="1"/>
        <v>0.88503850385038507</v>
      </c>
      <c r="P57">
        <f t="shared" si="2"/>
        <v>0.71127066666666661</v>
      </c>
    </row>
    <row r="58" spans="1:16" x14ac:dyDescent="0.3">
      <c r="A58">
        <v>280</v>
      </c>
      <c r="B58">
        <v>0.89100000000000001</v>
      </c>
      <c r="C58">
        <v>0.86099999999999999</v>
      </c>
      <c r="D58">
        <v>0.92100000000000004</v>
      </c>
      <c r="E58">
        <v>0.89108910891089099</v>
      </c>
      <c r="F58">
        <v>0.86303630363036299</v>
      </c>
      <c r="G58">
        <v>0.90594059405940597</v>
      </c>
      <c r="H58">
        <v>0.70137000000000005</v>
      </c>
      <c r="I58">
        <v>0.71457099999999996</v>
      </c>
      <c r="J58">
        <v>0.72282199999999996</v>
      </c>
      <c r="K58">
        <v>24838</v>
      </c>
      <c r="L58">
        <v>196.97</v>
      </c>
      <c r="N58">
        <f t="shared" si="0"/>
        <v>0.89100000000000001</v>
      </c>
      <c r="O58">
        <f t="shared" si="1"/>
        <v>0.88668866886688669</v>
      </c>
      <c r="P58">
        <f t="shared" si="2"/>
        <v>0.71292100000000003</v>
      </c>
    </row>
    <row r="59" spans="1:16" x14ac:dyDescent="0.3">
      <c r="A59">
        <v>285</v>
      </c>
      <c r="B59">
        <v>0.90100000000000002</v>
      </c>
      <c r="C59">
        <v>0.871</v>
      </c>
      <c r="D59">
        <v>0.91100000000000003</v>
      </c>
      <c r="E59">
        <v>0.90099009900990101</v>
      </c>
      <c r="F59">
        <v>0.87128712871287095</v>
      </c>
      <c r="G59">
        <v>0.91089108910891003</v>
      </c>
      <c r="H59">
        <v>0.73437300000000005</v>
      </c>
      <c r="I59">
        <v>0.72282199999999996</v>
      </c>
      <c r="J59">
        <v>0.78717800000000004</v>
      </c>
      <c r="K59">
        <v>29484.400000000001</v>
      </c>
      <c r="L59">
        <v>151.09</v>
      </c>
      <c r="N59">
        <f t="shared" si="0"/>
        <v>0.89433333333333331</v>
      </c>
      <c r="O59">
        <f t="shared" si="1"/>
        <v>0.894389438943894</v>
      </c>
      <c r="P59">
        <f t="shared" si="2"/>
        <v>0.74812433333333328</v>
      </c>
    </row>
    <row r="60" spans="1:16" x14ac:dyDescent="0.3">
      <c r="A60">
        <v>290</v>
      </c>
      <c r="B60">
        <v>0.90100000000000002</v>
      </c>
      <c r="C60">
        <v>0.871</v>
      </c>
      <c r="D60">
        <v>0.92100000000000004</v>
      </c>
      <c r="E60">
        <v>0.90099009900990101</v>
      </c>
      <c r="F60">
        <v>0.87128712871287095</v>
      </c>
      <c r="G60">
        <v>0.92079207920791994</v>
      </c>
      <c r="H60">
        <v>0.74097400000000002</v>
      </c>
      <c r="I60">
        <v>0.70301999999999998</v>
      </c>
      <c r="J60">
        <v>0.777277</v>
      </c>
      <c r="K60">
        <v>34525.599999999999</v>
      </c>
      <c r="L60">
        <v>306.52999999999997</v>
      </c>
      <c r="N60">
        <f t="shared" si="0"/>
        <v>0.89766666666666672</v>
      </c>
      <c r="O60">
        <f t="shared" si="1"/>
        <v>0.89768976897689734</v>
      </c>
      <c r="P60">
        <f t="shared" si="2"/>
        <v>0.74042366666666659</v>
      </c>
    </row>
    <row r="61" spans="1:16" x14ac:dyDescent="0.3">
      <c r="A61">
        <v>295</v>
      </c>
      <c r="B61">
        <v>0.90100000000000002</v>
      </c>
      <c r="C61">
        <v>0.871</v>
      </c>
      <c r="D61">
        <v>0.92100000000000004</v>
      </c>
      <c r="E61">
        <v>0.90099009900990101</v>
      </c>
      <c r="F61">
        <v>0.87128712871287095</v>
      </c>
      <c r="G61">
        <v>0.92079207920791994</v>
      </c>
      <c r="H61">
        <v>0.75747500000000001</v>
      </c>
      <c r="I61">
        <v>0.78222800000000003</v>
      </c>
      <c r="J61">
        <v>0.81193099999999996</v>
      </c>
      <c r="K61">
        <v>39501.9</v>
      </c>
      <c r="L61">
        <v>220.94</v>
      </c>
      <c r="N61">
        <f t="shared" si="0"/>
        <v>0.89766666666666672</v>
      </c>
      <c r="O61">
        <f t="shared" si="1"/>
        <v>0.89768976897689734</v>
      </c>
      <c r="P61">
        <f t="shared" si="2"/>
        <v>0.78387799999999996</v>
      </c>
    </row>
    <row r="62" spans="1:16" x14ac:dyDescent="0.3">
      <c r="A62">
        <v>300</v>
      </c>
      <c r="B62">
        <v>0.90100000000000002</v>
      </c>
      <c r="C62">
        <v>0.871</v>
      </c>
      <c r="D62">
        <v>0.92100000000000004</v>
      </c>
      <c r="E62">
        <v>0.90099009900990101</v>
      </c>
      <c r="F62">
        <v>0.87128712871287095</v>
      </c>
      <c r="G62">
        <v>0.92079207920791994</v>
      </c>
      <c r="H62">
        <v>0.75912500000000005</v>
      </c>
      <c r="I62">
        <v>0.73932299999999995</v>
      </c>
      <c r="J62">
        <v>0.78222800000000003</v>
      </c>
      <c r="K62">
        <v>40493.9</v>
      </c>
      <c r="L62">
        <v>41.97</v>
      </c>
      <c r="N62">
        <f t="shared" si="0"/>
        <v>0.89766666666666672</v>
      </c>
      <c r="O62">
        <f t="shared" si="1"/>
        <v>0.89768976897689734</v>
      </c>
      <c r="P62">
        <f t="shared" si="2"/>
        <v>0.76022533333333342</v>
      </c>
    </row>
    <row r="63" spans="1:16" x14ac:dyDescent="0.3">
      <c r="A63">
        <v>305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0.91589100000000001</v>
      </c>
      <c r="I63">
        <v>0.89773899999999995</v>
      </c>
      <c r="J63">
        <v>0.95054499999999997</v>
      </c>
      <c r="K63">
        <v>14885.6</v>
      </c>
      <c r="L63">
        <v>513.64</v>
      </c>
      <c r="N63">
        <f t="shared" si="0"/>
        <v>1</v>
      </c>
      <c r="O63">
        <f t="shared" si="1"/>
        <v>1</v>
      </c>
      <c r="P63">
        <f t="shared" si="2"/>
        <v>0.92139166666666661</v>
      </c>
    </row>
    <row r="64" spans="1:16" x14ac:dyDescent="0.3">
      <c r="A64">
        <v>310</v>
      </c>
      <c r="B64">
        <v>0.90100000000000002</v>
      </c>
      <c r="C64">
        <v>0.871</v>
      </c>
      <c r="D64">
        <v>0.92100000000000004</v>
      </c>
      <c r="E64">
        <v>0.90099009900990101</v>
      </c>
      <c r="F64">
        <v>0.87128712871287095</v>
      </c>
      <c r="G64">
        <v>0.92079207920791994</v>
      </c>
      <c r="H64">
        <v>0.82513199999999998</v>
      </c>
      <c r="I64">
        <v>0.80532999999999999</v>
      </c>
      <c r="J64">
        <v>0.84493399999999996</v>
      </c>
      <c r="K64">
        <v>19857.7</v>
      </c>
      <c r="L64">
        <v>87.11</v>
      </c>
      <c r="N64">
        <f t="shared" si="0"/>
        <v>0.89766666666666672</v>
      </c>
      <c r="O64">
        <f t="shared" si="1"/>
        <v>0.89768976897689734</v>
      </c>
      <c r="P64">
        <f t="shared" si="2"/>
        <v>0.82513199999999998</v>
      </c>
    </row>
    <row r="65" spans="1:16" x14ac:dyDescent="0.3">
      <c r="A65">
        <v>315</v>
      </c>
      <c r="B65">
        <v>0.90100000000000002</v>
      </c>
      <c r="C65">
        <v>0.871</v>
      </c>
      <c r="D65">
        <v>0.92100000000000004</v>
      </c>
      <c r="E65">
        <v>0.90099009900990101</v>
      </c>
      <c r="F65">
        <v>0.87128712871287095</v>
      </c>
      <c r="G65">
        <v>0.92079207920791994</v>
      </c>
      <c r="H65">
        <v>0.83173299999999994</v>
      </c>
      <c r="I65">
        <v>0.81028100000000003</v>
      </c>
      <c r="J65">
        <v>0.85318499999999997</v>
      </c>
      <c r="K65">
        <v>25086.9</v>
      </c>
      <c r="L65">
        <v>247.38</v>
      </c>
      <c r="N65">
        <f t="shared" si="0"/>
        <v>0.89766666666666672</v>
      </c>
      <c r="O65">
        <f t="shared" si="1"/>
        <v>0.89768976897689734</v>
      </c>
      <c r="P65">
        <f t="shared" si="2"/>
        <v>0.83173299999999994</v>
      </c>
    </row>
    <row r="66" spans="1:16" x14ac:dyDescent="0.3">
      <c r="A66">
        <v>320</v>
      </c>
      <c r="B66">
        <v>0.90100000000000002</v>
      </c>
      <c r="C66">
        <v>0.88100000000000001</v>
      </c>
      <c r="D66">
        <v>0.92100000000000004</v>
      </c>
      <c r="E66">
        <v>0.90099009900990101</v>
      </c>
      <c r="F66">
        <v>0.87293729372937301</v>
      </c>
      <c r="G66">
        <v>0.92079207920791994</v>
      </c>
      <c r="H66">
        <v>0.83998300000000004</v>
      </c>
      <c r="I66">
        <v>0.81028100000000003</v>
      </c>
      <c r="J66">
        <v>0.86143599999999998</v>
      </c>
      <c r="K66">
        <v>30360.3</v>
      </c>
      <c r="L66">
        <v>184.05</v>
      </c>
      <c r="N66">
        <f t="shared" si="0"/>
        <v>0.90100000000000013</v>
      </c>
      <c r="O66">
        <f t="shared" si="1"/>
        <v>0.89823982398239799</v>
      </c>
      <c r="P66">
        <f t="shared" si="2"/>
        <v>0.83723333333333327</v>
      </c>
    </row>
    <row r="67" spans="1:16" x14ac:dyDescent="0.3">
      <c r="A67">
        <v>325</v>
      </c>
      <c r="B67">
        <v>0.90100000000000002</v>
      </c>
      <c r="C67">
        <v>0.88100000000000001</v>
      </c>
      <c r="D67">
        <v>0.92100000000000004</v>
      </c>
      <c r="E67">
        <v>0.90099009900990101</v>
      </c>
      <c r="F67">
        <v>0.88118811881188097</v>
      </c>
      <c r="G67">
        <v>0.92079207920791994</v>
      </c>
      <c r="H67">
        <v>0.86308600000000002</v>
      </c>
      <c r="I67">
        <v>0.83668299999999995</v>
      </c>
      <c r="J67">
        <v>0.87958700000000001</v>
      </c>
      <c r="K67">
        <v>35965</v>
      </c>
      <c r="L67">
        <v>404.08</v>
      </c>
      <c r="N67">
        <f t="shared" si="0"/>
        <v>0.90100000000000013</v>
      </c>
      <c r="O67">
        <f t="shared" si="1"/>
        <v>0.90099009900990057</v>
      </c>
      <c r="P67">
        <f t="shared" si="2"/>
        <v>0.85978533333333329</v>
      </c>
    </row>
    <row r="68" spans="1:16" x14ac:dyDescent="0.3">
      <c r="A68">
        <v>330</v>
      </c>
      <c r="B68">
        <v>0.91100000000000003</v>
      </c>
      <c r="C68">
        <v>0.89100000000000001</v>
      </c>
      <c r="D68">
        <v>0.92100000000000004</v>
      </c>
      <c r="E68">
        <v>0.91089108910891003</v>
      </c>
      <c r="F68">
        <v>0.89108910891089099</v>
      </c>
      <c r="G68">
        <v>0.92079207920791994</v>
      </c>
      <c r="H68">
        <v>0.88288800000000001</v>
      </c>
      <c r="I68">
        <v>0.84328400000000003</v>
      </c>
      <c r="J68">
        <v>0.88618799999999998</v>
      </c>
      <c r="K68">
        <v>41652</v>
      </c>
      <c r="L68">
        <v>526.83000000000004</v>
      </c>
      <c r="N68">
        <f t="shared" si="0"/>
        <v>0.90766666666666662</v>
      </c>
      <c r="O68">
        <f t="shared" si="1"/>
        <v>0.90759075907590692</v>
      </c>
      <c r="P68">
        <f t="shared" si="2"/>
        <v>0.8707866666666666</v>
      </c>
    </row>
    <row r="69" spans="1:16" x14ac:dyDescent="0.3">
      <c r="A69">
        <v>335</v>
      </c>
      <c r="B69">
        <v>0.91100000000000003</v>
      </c>
      <c r="C69">
        <v>0.89100000000000001</v>
      </c>
      <c r="D69">
        <v>0.92100000000000004</v>
      </c>
      <c r="E69">
        <v>0.91089108910891003</v>
      </c>
      <c r="F69">
        <v>0.89273927392739205</v>
      </c>
      <c r="G69">
        <v>0.92079207920791994</v>
      </c>
      <c r="H69">
        <v>0.88123799999999997</v>
      </c>
      <c r="I69">
        <v>0.84988399999999997</v>
      </c>
      <c r="J69">
        <v>0.89443899999999998</v>
      </c>
      <c r="K69">
        <v>42560.5</v>
      </c>
      <c r="L69">
        <v>110.83</v>
      </c>
      <c r="N69">
        <f t="shared" ref="N69:N78" si="3">AVERAGE(B69:D69)</f>
        <v>0.90766666666666662</v>
      </c>
      <c r="O69">
        <f t="shared" ref="O69:O78" si="4">AVERAGE(E69:G69)</f>
        <v>0.90814081408140723</v>
      </c>
      <c r="P69">
        <f t="shared" ref="P69:P78" si="5">AVERAGE(H69:J69)</f>
        <v>0.87518700000000005</v>
      </c>
    </row>
    <row r="70" spans="1:16" x14ac:dyDescent="0.3">
      <c r="A70">
        <v>340</v>
      </c>
      <c r="B70">
        <v>0.93100000000000005</v>
      </c>
      <c r="C70">
        <v>0.91100000000000003</v>
      </c>
      <c r="D70">
        <v>0.92100000000000004</v>
      </c>
      <c r="E70">
        <v>0.93234323432343202</v>
      </c>
      <c r="F70">
        <v>0.91089108910891003</v>
      </c>
      <c r="G70">
        <v>0.92079207920791994</v>
      </c>
      <c r="H70">
        <v>0.88453800000000005</v>
      </c>
      <c r="I70">
        <v>0.85648500000000005</v>
      </c>
      <c r="J70">
        <v>0.90268999999999999</v>
      </c>
      <c r="K70">
        <v>18108.400000000001</v>
      </c>
      <c r="L70">
        <v>78.42</v>
      </c>
      <c r="N70">
        <f t="shared" si="3"/>
        <v>0.92099999999999993</v>
      </c>
      <c r="O70">
        <f t="shared" si="4"/>
        <v>0.92134213421342059</v>
      </c>
      <c r="P70">
        <f t="shared" si="5"/>
        <v>0.8812376666666667</v>
      </c>
    </row>
    <row r="71" spans="1:16" x14ac:dyDescent="0.3">
      <c r="A71">
        <v>345</v>
      </c>
      <c r="B71">
        <v>0.94099999999999995</v>
      </c>
      <c r="C71">
        <v>0.94099999999999995</v>
      </c>
      <c r="D71">
        <v>0.94099999999999995</v>
      </c>
      <c r="E71">
        <v>0.94059405940593999</v>
      </c>
      <c r="F71">
        <v>0.93234323432343202</v>
      </c>
      <c r="G71">
        <v>0.94224422442244204</v>
      </c>
      <c r="H71">
        <v>0.88783800000000002</v>
      </c>
      <c r="I71">
        <v>0.84988399999999997</v>
      </c>
      <c r="J71">
        <v>0.89278900000000005</v>
      </c>
      <c r="K71">
        <v>23730.3</v>
      </c>
      <c r="L71">
        <v>263.64</v>
      </c>
      <c r="N71">
        <f t="shared" si="3"/>
        <v>0.94099999999999995</v>
      </c>
      <c r="O71">
        <f t="shared" si="4"/>
        <v>0.93839383938393794</v>
      </c>
      <c r="P71">
        <f t="shared" si="5"/>
        <v>0.87683700000000009</v>
      </c>
    </row>
    <row r="72" spans="1:16" x14ac:dyDescent="0.3">
      <c r="A72">
        <v>350</v>
      </c>
      <c r="B72">
        <v>0.93100000000000005</v>
      </c>
      <c r="C72">
        <v>0.93100000000000005</v>
      </c>
      <c r="D72">
        <v>0.93100000000000005</v>
      </c>
      <c r="E72">
        <v>0.92079207920791994</v>
      </c>
      <c r="F72">
        <v>0.93069306930692997</v>
      </c>
      <c r="G72">
        <v>0.93069306930692997</v>
      </c>
      <c r="H72">
        <v>0.87298699999999996</v>
      </c>
      <c r="I72">
        <v>0.84823400000000004</v>
      </c>
      <c r="J72">
        <v>0.88123799999999997</v>
      </c>
      <c r="K72">
        <v>29473.7</v>
      </c>
      <c r="L72">
        <v>207.03</v>
      </c>
      <c r="N72">
        <f t="shared" si="3"/>
        <v>0.93100000000000005</v>
      </c>
      <c r="O72">
        <f t="shared" si="4"/>
        <v>0.92739273927392674</v>
      </c>
      <c r="P72">
        <f t="shared" si="5"/>
        <v>0.86748633333333325</v>
      </c>
    </row>
    <row r="73" spans="1:16" x14ac:dyDescent="0.3">
      <c r="A73">
        <v>355</v>
      </c>
      <c r="B73">
        <v>0.96</v>
      </c>
      <c r="C73">
        <v>0.99</v>
      </c>
      <c r="D73">
        <v>0.96</v>
      </c>
      <c r="E73">
        <v>0.95379537953795301</v>
      </c>
      <c r="F73">
        <v>0.97359735973597294</v>
      </c>
      <c r="G73">
        <v>0.96039603960396003</v>
      </c>
      <c r="H73">
        <v>0.89608900000000002</v>
      </c>
      <c r="I73">
        <v>0.86638599999999999</v>
      </c>
      <c r="J73">
        <v>0.910941</v>
      </c>
      <c r="K73">
        <v>35354.199999999997</v>
      </c>
      <c r="L73">
        <v>285.66000000000003</v>
      </c>
      <c r="N73">
        <f t="shared" si="3"/>
        <v>0.97000000000000008</v>
      </c>
      <c r="O73">
        <f t="shared" si="4"/>
        <v>0.96259625962596196</v>
      </c>
      <c r="P73">
        <f t="shared" si="5"/>
        <v>0.89113866666666663</v>
      </c>
    </row>
    <row r="74" spans="1:16" x14ac:dyDescent="0.3">
      <c r="A74">
        <v>360</v>
      </c>
      <c r="B74">
        <v>0.95</v>
      </c>
      <c r="C74">
        <v>0.97</v>
      </c>
      <c r="D74">
        <v>0.96</v>
      </c>
      <c r="E74">
        <v>0.95049504950495001</v>
      </c>
      <c r="F74">
        <v>0.96369636963696303</v>
      </c>
      <c r="G74">
        <v>0.96039603960396003</v>
      </c>
      <c r="H74">
        <v>0.89113900000000001</v>
      </c>
      <c r="I74">
        <v>0.86638599999999999</v>
      </c>
      <c r="J74">
        <v>0.89443899999999998</v>
      </c>
      <c r="K74">
        <v>41571.199999999997</v>
      </c>
      <c r="L74">
        <v>511.81</v>
      </c>
      <c r="N74">
        <f t="shared" si="3"/>
        <v>0.96</v>
      </c>
      <c r="O74">
        <f t="shared" si="4"/>
        <v>0.95819581958195765</v>
      </c>
      <c r="P74">
        <f t="shared" si="5"/>
        <v>0.883988</v>
      </c>
    </row>
    <row r="75" spans="1:16" x14ac:dyDescent="0.3">
      <c r="A75">
        <v>365</v>
      </c>
      <c r="B75">
        <v>0.95</v>
      </c>
      <c r="C75">
        <v>0.96</v>
      </c>
      <c r="D75">
        <v>0.95</v>
      </c>
      <c r="E75">
        <v>0.95049504950495001</v>
      </c>
      <c r="F75">
        <v>0.95379537953795301</v>
      </c>
      <c r="G75">
        <v>0.94059405940593999</v>
      </c>
      <c r="H75">
        <v>0.89113900000000001</v>
      </c>
      <c r="I75">
        <v>0.85813499999999998</v>
      </c>
      <c r="J75">
        <v>0.91424099999999997</v>
      </c>
      <c r="K75">
        <v>44981.1</v>
      </c>
      <c r="L75">
        <v>116.48</v>
      </c>
      <c r="N75">
        <f t="shared" si="3"/>
        <v>0.95333333333333325</v>
      </c>
      <c r="O75">
        <f t="shared" si="4"/>
        <v>0.94829482948294774</v>
      </c>
      <c r="P75">
        <f t="shared" si="5"/>
        <v>0.88783833333333328</v>
      </c>
    </row>
    <row r="76" spans="1:16" x14ac:dyDescent="0.3">
      <c r="A76">
        <v>370</v>
      </c>
      <c r="B76">
        <v>0.98</v>
      </c>
      <c r="C76">
        <v>0.99</v>
      </c>
      <c r="D76">
        <v>0.98</v>
      </c>
      <c r="E76">
        <v>0.98019801980197996</v>
      </c>
      <c r="F76">
        <v>0.99009900990098998</v>
      </c>
      <c r="G76">
        <v>0.98019801980197996</v>
      </c>
      <c r="H76">
        <v>0.89938899999999999</v>
      </c>
      <c r="I76">
        <v>0.86638599999999999</v>
      </c>
      <c r="J76">
        <v>0.90434000000000003</v>
      </c>
      <c r="K76">
        <v>21192.1</v>
      </c>
      <c r="L76">
        <v>109.64</v>
      </c>
      <c r="N76">
        <f t="shared" si="3"/>
        <v>0.98333333333333339</v>
      </c>
      <c r="O76">
        <f t="shared" si="4"/>
        <v>0.98349834983498319</v>
      </c>
      <c r="P76">
        <f t="shared" si="5"/>
        <v>0.89003833333333338</v>
      </c>
    </row>
    <row r="77" spans="1:16" x14ac:dyDescent="0.3">
      <c r="A77">
        <v>375</v>
      </c>
      <c r="B77">
        <v>0.95</v>
      </c>
      <c r="C77">
        <v>0.97</v>
      </c>
      <c r="D77">
        <v>0.97</v>
      </c>
      <c r="E77">
        <v>0.95049504950495001</v>
      </c>
      <c r="F77">
        <v>0.96699669966996604</v>
      </c>
      <c r="G77">
        <v>0.97029702970297005</v>
      </c>
      <c r="H77">
        <v>0.89608900000000002</v>
      </c>
      <c r="I77">
        <v>0.86638599999999999</v>
      </c>
      <c r="J77">
        <v>0.89938899999999999</v>
      </c>
      <c r="K77">
        <v>27398.5</v>
      </c>
      <c r="L77">
        <v>214.81</v>
      </c>
      <c r="N77">
        <f t="shared" si="3"/>
        <v>0.96333333333333326</v>
      </c>
      <c r="O77">
        <f t="shared" si="4"/>
        <v>0.96259625962596207</v>
      </c>
      <c r="P77">
        <f t="shared" si="5"/>
        <v>0.88728799999999997</v>
      </c>
    </row>
    <row r="78" spans="1:16" x14ac:dyDescent="0.3">
      <c r="A78">
        <v>380</v>
      </c>
      <c r="B78">
        <v>0.97</v>
      </c>
      <c r="C78">
        <v>0.99</v>
      </c>
      <c r="D78">
        <v>0.98</v>
      </c>
      <c r="E78">
        <v>0.97029702970297005</v>
      </c>
      <c r="F78">
        <v>0.99009900990098998</v>
      </c>
      <c r="G78">
        <v>0.98019801980197996</v>
      </c>
      <c r="H78">
        <v>0.89773899999999995</v>
      </c>
      <c r="I78">
        <v>0.86968599999999996</v>
      </c>
      <c r="J78">
        <v>0.91754100000000005</v>
      </c>
      <c r="K78">
        <v>33723.4</v>
      </c>
      <c r="L78">
        <v>210.22</v>
      </c>
      <c r="N78">
        <f t="shared" si="3"/>
        <v>0.98</v>
      </c>
      <c r="O78">
        <f t="shared" si="4"/>
        <v>0.98019801980197985</v>
      </c>
      <c r="P78">
        <f t="shared" si="5"/>
        <v>0.89498866666666654</v>
      </c>
    </row>
    <row r="81" spans="1:19" x14ac:dyDescent="0.3">
      <c r="A81" t="s">
        <v>34</v>
      </c>
    </row>
    <row r="82" spans="1:19" x14ac:dyDescent="0.3">
      <c r="C82" t="s">
        <v>6</v>
      </c>
      <c r="F82" t="s">
        <v>7</v>
      </c>
      <c r="I82" t="s">
        <v>8</v>
      </c>
      <c r="O82" t="s">
        <v>83</v>
      </c>
      <c r="R82" t="s">
        <v>84</v>
      </c>
    </row>
    <row r="83" spans="1:19" x14ac:dyDescent="0.3">
      <c r="A83" t="s">
        <v>85</v>
      </c>
      <c r="B83" t="s">
        <v>86</v>
      </c>
      <c r="C83" t="s">
        <v>88</v>
      </c>
      <c r="D83" t="s">
        <v>90</v>
      </c>
      <c r="E83" t="s">
        <v>92</v>
      </c>
      <c r="F83" t="s">
        <v>93</v>
      </c>
      <c r="G83" t="s">
        <v>94</v>
      </c>
      <c r="H83" t="s">
        <v>92</v>
      </c>
      <c r="I83" t="s">
        <v>93</v>
      </c>
      <c r="J83" t="s">
        <v>94</v>
      </c>
      <c r="K83" t="s">
        <v>95</v>
      </c>
      <c r="L83" t="s">
        <v>96</v>
      </c>
      <c r="N83" t="s">
        <v>129</v>
      </c>
      <c r="O83" t="s">
        <v>108</v>
      </c>
      <c r="P83" t="s">
        <v>109</v>
      </c>
      <c r="Q83" t="s">
        <v>6</v>
      </c>
      <c r="R83" t="s">
        <v>7</v>
      </c>
      <c r="S83" t="s">
        <v>8</v>
      </c>
    </row>
    <row r="84" spans="1:19" x14ac:dyDescent="0.3">
      <c r="A84">
        <v>10</v>
      </c>
      <c r="B84">
        <v>0.04</v>
      </c>
      <c r="C84">
        <v>2.5000000000000001E-2</v>
      </c>
      <c r="D84">
        <v>3.5000000000000003E-2</v>
      </c>
      <c r="E84">
        <v>0.16334991708126001</v>
      </c>
      <c r="F84">
        <v>0.103648424543946</v>
      </c>
      <c r="G84">
        <v>0.13349917081260301</v>
      </c>
      <c r="H84">
        <v>3.8996999999999997E-2</v>
      </c>
      <c r="I84">
        <v>3.5680000000000003E-2</v>
      </c>
      <c r="J84">
        <v>4.7288999999999998E-2</v>
      </c>
      <c r="K84">
        <v>1480.6</v>
      </c>
      <c r="L84">
        <v>4.0199999999999996</v>
      </c>
      <c r="N84">
        <f>AVERAGE(B84:D84)</f>
        <v>3.3333333333333333E-2</v>
      </c>
      <c r="O84">
        <f>AVERAGE(E84:G84)</f>
        <v>0.13349917081260301</v>
      </c>
      <c r="P84">
        <f>AVERAGE(H84:J84)</f>
        <v>4.0655333333333328E-2</v>
      </c>
      <c r="Q84">
        <f>MIN(N84:N158)</f>
        <v>1.8333333333333337E-2</v>
      </c>
      <c r="R84">
        <f>MIN(O84:O158)</f>
        <v>0.13349917081260301</v>
      </c>
      <c r="S84">
        <f>MIN(P84:P158)</f>
        <v>3.2086999999999997E-2</v>
      </c>
    </row>
    <row r="85" spans="1:19" x14ac:dyDescent="0.3">
      <c r="A85">
        <v>15</v>
      </c>
      <c r="B85">
        <v>1.4999999999999999E-2</v>
      </c>
      <c r="C85">
        <v>0.02</v>
      </c>
      <c r="D85">
        <v>0.02</v>
      </c>
      <c r="E85">
        <v>0.19071310116086199</v>
      </c>
      <c r="F85">
        <v>0.12106135986733001</v>
      </c>
      <c r="G85">
        <v>0.194029850746268</v>
      </c>
      <c r="H85">
        <v>3.0705E-2</v>
      </c>
      <c r="I85">
        <v>2.6558999999999999E-2</v>
      </c>
      <c r="J85">
        <v>3.8996999999999997E-2</v>
      </c>
      <c r="K85">
        <v>1780.4</v>
      </c>
      <c r="L85">
        <v>6.92</v>
      </c>
      <c r="N85">
        <f t="shared" ref="N85:N148" si="6">AVERAGE(B85:D85)</f>
        <v>1.8333333333333337E-2</v>
      </c>
      <c r="O85">
        <f t="shared" ref="O85:O148" si="7">AVERAGE(E85:G85)</f>
        <v>0.16860143725815332</v>
      </c>
      <c r="P85">
        <f t="shared" ref="P85:P148" si="8">AVERAGE(H85:J85)</f>
        <v>3.2086999999999997E-2</v>
      </c>
      <c r="Q85" t="s">
        <v>130</v>
      </c>
      <c r="R85" t="s">
        <v>131</v>
      </c>
      <c r="S85" t="s">
        <v>130</v>
      </c>
    </row>
    <row r="86" spans="1:19" x14ac:dyDescent="0.3">
      <c r="A86">
        <v>20</v>
      </c>
      <c r="B86">
        <v>0.04</v>
      </c>
      <c r="C86">
        <v>3.5000000000000003E-2</v>
      </c>
      <c r="D86">
        <v>5.5E-2</v>
      </c>
      <c r="E86">
        <v>0.26948590381426202</v>
      </c>
      <c r="F86">
        <v>0.184079601990049</v>
      </c>
      <c r="G86">
        <v>0.251243781094527</v>
      </c>
      <c r="H86">
        <v>4.4801000000000001E-2</v>
      </c>
      <c r="I86">
        <v>4.0654999999999997E-2</v>
      </c>
      <c r="J86">
        <v>5.8092999999999999E-2</v>
      </c>
      <c r="K86">
        <v>1947.4</v>
      </c>
      <c r="L86">
        <v>6.88</v>
      </c>
      <c r="N86">
        <f t="shared" si="6"/>
        <v>4.3333333333333335E-2</v>
      </c>
      <c r="O86">
        <f t="shared" si="7"/>
        <v>0.23493642896627934</v>
      </c>
      <c r="P86">
        <f t="shared" si="8"/>
        <v>4.7849666666666672E-2</v>
      </c>
    </row>
    <row r="87" spans="1:19" x14ac:dyDescent="0.3">
      <c r="A87">
        <v>25</v>
      </c>
      <c r="B87">
        <v>0.03</v>
      </c>
      <c r="C87">
        <v>0.02</v>
      </c>
      <c r="D87">
        <v>0.04</v>
      </c>
      <c r="E87">
        <v>0.31674958540630099</v>
      </c>
      <c r="F87">
        <v>0.26451077943615198</v>
      </c>
      <c r="G87">
        <v>0.314262023217247</v>
      </c>
      <c r="H87">
        <v>4.3971999999999997E-2</v>
      </c>
      <c r="I87">
        <v>4.1484E-2</v>
      </c>
      <c r="J87">
        <v>4.5629999999999997E-2</v>
      </c>
      <c r="K87">
        <v>2111.6999999999998</v>
      </c>
      <c r="L87">
        <v>4.1900000000000004</v>
      </c>
      <c r="N87">
        <f t="shared" si="6"/>
        <v>0.03</v>
      </c>
      <c r="O87">
        <f t="shared" si="7"/>
        <v>0.29850746268656669</v>
      </c>
      <c r="P87">
        <f t="shared" si="8"/>
        <v>4.3695333333333336E-2</v>
      </c>
    </row>
    <row r="88" spans="1:19" x14ac:dyDescent="0.3">
      <c r="A88">
        <v>30</v>
      </c>
      <c r="B88">
        <v>0.05</v>
      </c>
      <c r="C88">
        <v>2.5000000000000001E-2</v>
      </c>
      <c r="D88">
        <v>5.5E-2</v>
      </c>
      <c r="E88">
        <v>0.31011608623548897</v>
      </c>
      <c r="F88">
        <v>0.27280265339966803</v>
      </c>
      <c r="G88">
        <v>0.29519071310116002</v>
      </c>
      <c r="H88">
        <v>5.2263999999999998E-2</v>
      </c>
      <c r="I88">
        <v>3.4851E-2</v>
      </c>
      <c r="J88">
        <v>6.1385000000000002E-2</v>
      </c>
      <c r="K88">
        <v>2240.9</v>
      </c>
      <c r="L88">
        <v>7.16</v>
      </c>
      <c r="N88">
        <f t="shared" si="6"/>
        <v>4.3333333333333335E-2</v>
      </c>
      <c r="O88">
        <f t="shared" si="7"/>
        <v>0.29270315091210564</v>
      </c>
      <c r="P88">
        <f t="shared" si="8"/>
        <v>4.9499999999999995E-2</v>
      </c>
    </row>
    <row r="89" spans="1:19" x14ac:dyDescent="0.3">
      <c r="A89">
        <v>35</v>
      </c>
      <c r="B89">
        <v>6.5000000000000002E-2</v>
      </c>
      <c r="C89">
        <v>1.4999999999999999E-2</v>
      </c>
      <c r="D89">
        <v>6.5000000000000002E-2</v>
      </c>
      <c r="E89">
        <v>0.21227197346600299</v>
      </c>
      <c r="F89">
        <v>0.24626865671641701</v>
      </c>
      <c r="G89">
        <v>0.26202321724709698</v>
      </c>
      <c r="H89">
        <v>5.5579999999999997E-2</v>
      </c>
      <c r="I89">
        <v>4.3971999999999997E-2</v>
      </c>
      <c r="J89">
        <v>5.4751000000000001E-2</v>
      </c>
      <c r="K89">
        <v>2421.6999999999998</v>
      </c>
      <c r="L89">
        <v>6.31</v>
      </c>
      <c r="N89">
        <f t="shared" si="6"/>
        <v>4.8333333333333339E-2</v>
      </c>
      <c r="O89">
        <f t="shared" si="7"/>
        <v>0.24018794914317232</v>
      </c>
      <c r="P89">
        <f t="shared" si="8"/>
        <v>5.1434333333333332E-2</v>
      </c>
    </row>
    <row r="90" spans="1:19" x14ac:dyDescent="0.3">
      <c r="A90">
        <v>40</v>
      </c>
      <c r="B90">
        <v>6.5000000000000002E-2</v>
      </c>
      <c r="C90">
        <v>0.02</v>
      </c>
      <c r="D90">
        <v>7.4999999999999997E-2</v>
      </c>
      <c r="E90">
        <v>0.32504145936981699</v>
      </c>
      <c r="F90">
        <v>0.24792703150912099</v>
      </c>
      <c r="G90">
        <v>0.26202321724709698</v>
      </c>
      <c r="H90">
        <v>6.3871999999999998E-2</v>
      </c>
      <c r="I90">
        <v>4.3971999999999997E-2</v>
      </c>
      <c r="J90">
        <v>6.9677000000000003E-2</v>
      </c>
      <c r="K90">
        <v>2617.6</v>
      </c>
      <c r="L90">
        <v>5.77</v>
      </c>
      <c r="N90">
        <f t="shared" si="6"/>
        <v>5.3333333333333337E-2</v>
      </c>
      <c r="O90">
        <f t="shared" si="7"/>
        <v>0.278330569375345</v>
      </c>
      <c r="P90">
        <f t="shared" si="8"/>
        <v>5.9173666666666659E-2</v>
      </c>
    </row>
    <row r="91" spans="1:19" x14ac:dyDescent="0.3">
      <c r="A91">
        <v>45</v>
      </c>
      <c r="B91">
        <v>7.4999999999999997E-2</v>
      </c>
      <c r="C91">
        <v>0.03</v>
      </c>
      <c r="D91">
        <v>6.5000000000000002E-2</v>
      </c>
      <c r="E91">
        <v>0.27777777777777701</v>
      </c>
      <c r="F91">
        <v>0.17330016583747901</v>
      </c>
      <c r="G91">
        <v>0.22139303482587</v>
      </c>
      <c r="H91">
        <v>6.1385000000000002E-2</v>
      </c>
      <c r="I91">
        <v>4.4801000000000001E-2</v>
      </c>
      <c r="J91">
        <v>5.9726000000000001E-2</v>
      </c>
      <c r="K91">
        <v>4224.7</v>
      </c>
      <c r="L91">
        <v>132.66999999999999</v>
      </c>
      <c r="N91">
        <f t="shared" si="6"/>
        <v>5.6666666666666664E-2</v>
      </c>
      <c r="O91">
        <f t="shared" si="7"/>
        <v>0.22415699281370868</v>
      </c>
      <c r="P91">
        <f t="shared" si="8"/>
        <v>5.5303999999999999E-2</v>
      </c>
    </row>
    <row r="92" spans="1:19" x14ac:dyDescent="0.3">
      <c r="A92">
        <v>50</v>
      </c>
      <c r="B92">
        <v>0.04</v>
      </c>
      <c r="C92">
        <v>2.5000000000000001E-2</v>
      </c>
      <c r="D92">
        <v>0.04</v>
      </c>
      <c r="E92">
        <v>0.22056384742951901</v>
      </c>
      <c r="F92">
        <v>0.21393034825870599</v>
      </c>
      <c r="G92">
        <v>0.19320066334991701</v>
      </c>
      <c r="H92">
        <v>4.6459E-2</v>
      </c>
      <c r="I92">
        <v>3.4021999999999997E-2</v>
      </c>
      <c r="J92">
        <v>4.8118000000000001E-2</v>
      </c>
      <c r="K92">
        <v>6028.7</v>
      </c>
      <c r="L92">
        <v>175.78</v>
      </c>
      <c r="N92">
        <f t="shared" si="6"/>
        <v>3.5000000000000003E-2</v>
      </c>
      <c r="O92">
        <f t="shared" si="7"/>
        <v>0.20923161967938067</v>
      </c>
      <c r="P92">
        <f t="shared" si="8"/>
        <v>4.2866333333333333E-2</v>
      </c>
    </row>
    <row r="93" spans="1:19" x14ac:dyDescent="0.3">
      <c r="A93">
        <v>55</v>
      </c>
      <c r="B93">
        <v>0.03</v>
      </c>
      <c r="C93">
        <v>0.02</v>
      </c>
      <c r="D93">
        <v>0.04</v>
      </c>
      <c r="E93">
        <v>0.16666666666666599</v>
      </c>
      <c r="F93">
        <v>0.12520729684908699</v>
      </c>
      <c r="G93">
        <v>0.18656716417910399</v>
      </c>
      <c r="H93">
        <v>5.0604999999999997E-2</v>
      </c>
      <c r="I93">
        <v>3.7338000000000003E-2</v>
      </c>
      <c r="J93">
        <v>5.0604999999999997E-2</v>
      </c>
      <c r="K93">
        <v>7987.6</v>
      </c>
      <c r="L93">
        <v>175.22</v>
      </c>
      <c r="N93">
        <f t="shared" si="6"/>
        <v>0.03</v>
      </c>
      <c r="O93">
        <f t="shared" si="7"/>
        <v>0.15948037589828568</v>
      </c>
      <c r="P93">
        <f t="shared" si="8"/>
        <v>4.618266666666667E-2</v>
      </c>
    </row>
    <row r="94" spans="1:19" x14ac:dyDescent="0.3">
      <c r="A94">
        <v>60</v>
      </c>
      <c r="B94">
        <v>4.4999999999999998E-2</v>
      </c>
      <c r="C94">
        <v>2.5000000000000001E-2</v>
      </c>
      <c r="D94">
        <v>0.04</v>
      </c>
      <c r="E94">
        <v>0.16500829187396299</v>
      </c>
      <c r="F94">
        <v>0.30679933665008202</v>
      </c>
      <c r="G94">
        <v>0.21227197346600299</v>
      </c>
      <c r="H94">
        <v>4.8946999999999997E-2</v>
      </c>
      <c r="I94">
        <v>4.0654999999999997E-2</v>
      </c>
      <c r="J94">
        <v>5.0604999999999997E-2</v>
      </c>
      <c r="K94">
        <v>10130.799999999999</v>
      </c>
      <c r="L94">
        <v>149.72</v>
      </c>
      <c r="N94">
        <f t="shared" si="6"/>
        <v>3.6666666666666674E-2</v>
      </c>
      <c r="O94">
        <f t="shared" si="7"/>
        <v>0.22802653399668268</v>
      </c>
      <c r="P94">
        <f t="shared" si="8"/>
        <v>4.6735666666666655E-2</v>
      </c>
    </row>
    <row r="95" spans="1:19" x14ac:dyDescent="0.3">
      <c r="A95">
        <v>65</v>
      </c>
      <c r="B95">
        <v>3.5000000000000003E-2</v>
      </c>
      <c r="C95">
        <v>1.4999999999999999E-2</v>
      </c>
      <c r="D95">
        <v>3.5000000000000003E-2</v>
      </c>
      <c r="E95">
        <v>0.217247097844112</v>
      </c>
      <c r="F95">
        <v>0.217247097844112</v>
      </c>
      <c r="G95">
        <v>0.24461028192371401</v>
      </c>
      <c r="H95">
        <v>4.3971999999999997E-2</v>
      </c>
      <c r="I95">
        <v>3.0705E-2</v>
      </c>
      <c r="J95">
        <v>4.8118000000000001E-2</v>
      </c>
      <c r="K95">
        <v>12466.8</v>
      </c>
      <c r="L95">
        <v>176.73</v>
      </c>
      <c r="N95">
        <f t="shared" si="6"/>
        <v>2.8333333333333335E-2</v>
      </c>
      <c r="O95">
        <f t="shared" si="7"/>
        <v>0.22636815920397935</v>
      </c>
      <c r="P95">
        <f t="shared" si="8"/>
        <v>4.0931666666666665E-2</v>
      </c>
    </row>
    <row r="96" spans="1:19" x14ac:dyDescent="0.3">
      <c r="A96">
        <v>70</v>
      </c>
      <c r="B96">
        <v>4.4999999999999998E-2</v>
      </c>
      <c r="C96">
        <v>0.02</v>
      </c>
      <c r="D96">
        <v>4.4999999999999998E-2</v>
      </c>
      <c r="E96">
        <v>0.18656716417910399</v>
      </c>
      <c r="F96">
        <v>0.19900497512437801</v>
      </c>
      <c r="G96">
        <v>0.21227197346600299</v>
      </c>
      <c r="H96">
        <v>5.4751000000000001E-2</v>
      </c>
      <c r="I96">
        <v>3.6509E-2</v>
      </c>
      <c r="J96">
        <v>5.6410000000000002E-2</v>
      </c>
      <c r="K96">
        <v>14936.3</v>
      </c>
      <c r="L96">
        <v>197.22</v>
      </c>
      <c r="N96">
        <f t="shared" si="6"/>
        <v>3.6666666666666667E-2</v>
      </c>
      <c r="O96">
        <f t="shared" si="7"/>
        <v>0.19928137092316167</v>
      </c>
      <c r="P96">
        <f t="shared" si="8"/>
        <v>4.9223333333333341E-2</v>
      </c>
    </row>
    <row r="97" spans="1:16" x14ac:dyDescent="0.3">
      <c r="A97">
        <v>75</v>
      </c>
      <c r="B97">
        <v>3.5000000000000003E-2</v>
      </c>
      <c r="C97">
        <v>0.02</v>
      </c>
      <c r="D97">
        <v>0.04</v>
      </c>
      <c r="E97">
        <v>0.25041459369817498</v>
      </c>
      <c r="F97">
        <v>0.13101160862354799</v>
      </c>
      <c r="G97">
        <v>0.168325041459369</v>
      </c>
      <c r="H97">
        <v>6.3871999999999998E-2</v>
      </c>
      <c r="I97">
        <v>4.7288999999999998E-2</v>
      </c>
      <c r="J97">
        <v>5.8896999999999998E-2</v>
      </c>
      <c r="K97">
        <v>17628.3</v>
      </c>
      <c r="L97">
        <v>255.05</v>
      </c>
      <c r="N97">
        <f t="shared" si="6"/>
        <v>3.1666666666666669E-2</v>
      </c>
      <c r="O97">
        <f t="shared" si="7"/>
        <v>0.18325041459369731</v>
      </c>
      <c r="P97">
        <f t="shared" si="8"/>
        <v>5.6685999999999993E-2</v>
      </c>
    </row>
    <row r="98" spans="1:16" x14ac:dyDescent="0.3">
      <c r="A98">
        <v>80</v>
      </c>
      <c r="B98">
        <v>3.5000000000000003E-2</v>
      </c>
      <c r="C98">
        <v>0.03</v>
      </c>
      <c r="D98">
        <v>4.4999999999999998E-2</v>
      </c>
      <c r="E98">
        <v>0.20646766169154199</v>
      </c>
      <c r="F98">
        <v>0.16749585406301801</v>
      </c>
      <c r="G98">
        <v>0.20398009950248699</v>
      </c>
      <c r="H98">
        <v>5.8896999999999998E-2</v>
      </c>
      <c r="I98">
        <v>5.0604999999999997E-2</v>
      </c>
      <c r="J98">
        <v>5.5579999999999997E-2</v>
      </c>
      <c r="K98">
        <v>20413.400000000001</v>
      </c>
      <c r="L98">
        <v>197.23</v>
      </c>
      <c r="N98">
        <f t="shared" si="6"/>
        <v>3.6666666666666667E-2</v>
      </c>
      <c r="O98">
        <f t="shared" si="7"/>
        <v>0.19264787175234899</v>
      </c>
      <c r="P98">
        <f t="shared" si="8"/>
        <v>5.5027333333333324E-2</v>
      </c>
    </row>
    <row r="99" spans="1:16" x14ac:dyDescent="0.3">
      <c r="A99">
        <v>85</v>
      </c>
      <c r="B99">
        <v>0.04</v>
      </c>
      <c r="C99">
        <v>3.5000000000000003E-2</v>
      </c>
      <c r="D99">
        <v>4.4999999999999998E-2</v>
      </c>
      <c r="E99">
        <v>0.160033167495854</v>
      </c>
      <c r="F99">
        <v>0.15671641791044699</v>
      </c>
      <c r="G99">
        <v>0.18822553897180699</v>
      </c>
      <c r="H99">
        <v>6.7188999999999999E-2</v>
      </c>
      <c r="I99">
        <v>5.3921999999999998E-2</v>
      </c>
      <c r="J99">
        <v>6.8017999999999995E-2</v>
      </c>
      <c r="K99">
        <v>23420.799999999999</v>
      </c>
      <c r="L99">
        <v>270.31</v>
      </c>
      <c r="N99">
        <f t="shared" si="6"/>
        <v>0.04</v>
      </c>
      <c r="O99">
        <f t="shared" si="7"/>
        <v>0.16832504145936933</v>
      </c>
      <c r="P99">
        <f t="shared" si="8"/>
        <v>6.3043000000000002E-2</v>
      </c>
    </row>
    <row r="100" spans="1:16" x14ac:dyDescent="0.3">
      <c r="A100">
        <v>90</v>
      </c>
      <c r="B100">
        <v>3.5000000000000003E-2</v>
      </c>
      <c r="C100">
        <v>3.5000000000000003E-2</v>
      </c>
      <c r="D100">
        <v>4.4999999999999998E-2</v>
      </c>
      <c r="E100">
        <v>0.19651741293532299</v>
      </c>
      <c r="F100">
        <v>0.18490878938640101</v>
      </c>
      <c r="G100">
        <v>0.199834162520729</v>
      </c>
      <c r="H100">
        <v>6.1385000000000002E-2</v>
      </c>
      <c r="I100">
        <v>4.5629999999999997E-2</v>
      </c>
      <c r="J100">
        <v>6.3043000000000002E-2</v>
      </c>
      <c r="K100">
        <v>26582.9</v>
      </c>
      <c r="L100">
        <v>249.67</v>
      </c>
      <c r="N100">
        <f t="shared" si="6"/>
        <v>3.8333333333333337E-2</v>
      </c>
      <c r="O100">
        <f t="shared" si="7"/>
        <v>0.19375345494748433</v>
      </c>
      <c r="P100">
        <f t="shared" si="8"/>
        <v>5.6685999999999993E-2</v>
      </c>
    </row>
    <row r="101" spans="1:16" x14ac:dyDescent="0.3">
      <c r="A101">
        <v>95</v>
      </c>
      <c r="B101">
        <v>5.5E-2</v>
      </c>
      <c r="C101">
        <v>4.4999999999999998E-2</v>
      </c>
      <c r="D101">
        <v>7.0000000000000007E-2</v>
      </c>
      <c r="E101">
        <v>0.197346600331674</v>
      </c>
      <c r="F101">
        <v>0.18988391376451</v>
      </c>
      <c r="G101">
        <v>0.225538971807628</v>
      </c>
      <c r="H101">
        <v>6.1385000000000002E-2</v>
      </c>
      <c r="I101">
        <v>5.1434000000000001E-2</v>
      </c>
      <c r="J101">
        <v>6.5531000000000006E-2</v>
      </c>
      <c r="K101">
        <v>29838.6</v>
      </c>
      <c r="L101">
        <v>241.59</v>
      </c>
      <c r="N101">
        <f t="shared" si="6"/>
        <v>5.6666666666666671E-2</v>
      </c>
      <c r="O101">
        <f t="shared" si="7"/>
        <v>0.20425649530127066</v>
      </c>
      <c r="P101">
        <f t="shared" si="8"/>
        <v>5.9450000000000003E-2</v>
      </c>
    </row>
    <row r="102" spans="1:16" x14ac:dyDescent="0.3">
      <c r="A102">
        <v>100</v>
      </c>
      <c r="B102">
        <v>8.5000000000000006E-2</v>
      </c>
      <c r="C102">
        <v>7.0000000000000007E-2</v>
      </c>
      <c r="D102">
        <v>9.5000000000000001E-2</v>
      </c>
      <c r="E102">
        <v>0.16169154228855701</v>
      </c>
      <c r="F102">
        <v>0.18988391376451</v>
      </c>
      <c r="G102">
        <v>0.20812603648424499</v>
      </c>
      <c r="H102">
        <v>6.2213999999999998E-2</v>
      </c>
      <c r="I102">
        <v>5.0604999999999997E-2</v>
      </c>
      <c r="J102">
        <v>7.2164000000000006E-2</v>
      </c>
      <c r="K102">
        <v>33345.5</v>
      </c>
      <c r="L102">
        <v>293.52999999999997</v>
      </c>
      <c r="N102">
        <f t="shared" si="6"/>
        <v>8.3333333333333329E-2</v>
      </c>
      <c r="O102">
        <f t="shared" si="7"/>
        <v>0.18656716417910402</v>
      </c>
      <c r="P102">
        <f t="shared" si="8"/>
        <v>6.1661000000000001E-2</v>
      </c>
    </row>
    <row r="103" spans="1:16" x14ac:dyDescent="0.3">
      <c r="A103">
        <v>105</v>
      </c>
      <c r="B103">
        <v>8.5000000000000006E-2</v>
      </c>
      <c r="C103">
        <v>0.08</v>
      </c>
      <c r="D103">
        <v>0.1</v>
      </c>
      <c r="E103">
        <v>0.18905472636815901</v>
      </c>
      <c r="F103">
        <v>0.19320066334991701</v>
      </c>
      <c r="G103">
        <v>0.21807628524046399</v>
      </c>
      <c r="H103">
        <v>6.7188999999999999E-2</v>
      </c>
      <c r="I103">
        <v>5.8068000000000002E-2</v>
      </c>
      <c r="J103">
        <v>6.6360000000000002E-2</v>
      </c>
      <c r="K103">
        <v>36992.300000000003</v>
      </c>
      <c r="L103">
        <v>265.56</v>
      </c>
      <c r="N103">
        <f t="shared" si="6"/>
        <v>8.8333333333333333E-2</v>
      </c>
      <c r="O103">
        <f t="shared" si="7"/>
        <v>0.20011055831951333</v>
      </c>
      <c r="P103">
        <f t="shared" si="8"/>
        <v>6.3872333333333337E-2</v>
      </c>
    </row>
    <row r="104" spans="1:16" x14ac:dyDescent="0.3">
      <c r="A104">
        <v>110</v>
      </c>
      <c r="B104">
        <v>6.5000000000000002E-2</v>
      </c>
      <c r="C104">
        <v>6.5000000000000002E-2</v>
      </c>
      <c r="D104">
        <v>0.09</v>
      </c>
      <c r="E104">
        <v>0.22139303482587</v>
      </c>
      <c r="F104">
        <v>0.19071310116086199</v>
      </c>
      <c r="G104">
        <v>0.207296849087893</v>
      </c>
      <c r="H104">
        <v>7.0505999999999999E-2</v>
      </c>
      <c r="I104">
        <v>5.8896999999999998E-2</v>
      </c>
      <c r="J104">
        <v>7.6310000000000003E-2</v>
      </c>
      <c r="K104">
        <v>37581.300000000003</v>
      </c>
      <c r="L104">
        <v>13.97</v>
      </c>
      <c r="N104">
        <f t="shared" si="6"/>
        <v>7.3333333333333334E-2</v>
      </c>
      <c r="O104">
        <f t="shared" si="7"/>
        <v>0.20646766169154165</v>
      </c>
      <c r="P104">
        <f t="shared" si="8"/>
        <v>6.8570999999999993E-2</v>
      </c>
    </row>
    <row r="105" spans="1:16" x14ac:dyDescent="0.3">
      <c r="A105">
        <v>115</v>
      </c>
      <c r="B105">
        <v>0.09</v>
      </c>
      <c r="C105">
        <v>8.5000000000000006E-2</v>
      </c>
      <c r="D105">
        <v>0.11899999999999999</v>
      </c>
      <c r="E105">
        <v>0.195688225538971</v>
      </c>
      <c r="F105">
        <v>0.19817578772802599</v>
      </c>
      <c r="G105">
        <v>0.23051409618573801</v>
      </c>
      <c r="H105">
        <v>6.0555999999999999E-2</v>
      </c>
      <c r="I105">
        <v>5.6410000000000002E-2</v>
      </c>
      <c r="J105">
        <v>6.6360000000000002E-2</v>
      </c>
      <c r="K105">
        <v>8451.4</v>
      </c>
      <c r="L105">
        <v>106.66</v>
      </c>
      <c r="N105">
        <f t="shared" si="6"/>
        <v>9.799999999999999E-2</v>
      </c>
      <c r="O105">
        <f t="shared" si="7"/>
        <v>0.20812603648424499</v>
      </c>
      <c r="P105">
        <f t="shared" si="8"/>
        <v>6.1108666666666665E-2</v>
      </c>
    </row>
    <row r="106" spans="1:16" x14ac:dyDescent="0.3">
      <c r="A106">
        <v>120</v>
      </c>
      <c r="B106">
        <v>0.104</v>
      </c>
      <c r="C106">
        <v>8.5000000000000006E-2</v>
      </c>
      <c r="D106">
        <v>0.109</v>
      </c>
      <c r="E106">
        <v>0.19651741293532299</v>
      </c>
      <c r="F106">
        <v>0.17247097844112699</v>
      </c>
      <c r="G106">
        <v>0.19485903814262001</v>
      </c>
      <c r="H106">
        <v>7.7138999999999999E-2</v>
      </c>
      <c r="I106">
        <v>6.6385E-2</v>
      </c>
      <c r="J106">
        <v>7.7138999999999999E-2</v>
      </c>
      <c r="K106">
        <v>12501.4</v>
      </c>
      <c r="L106">
        <v>76.17</v>
      </c>
      <c r="N106">
        <f t="shared" si="6"/>
        <v>9.9333333333333329E-2</v>
      </c>
      <c r="O106">
        <f t="shared" si="7"/>
        <v>0.18794914317302336</v>
      </c>
      <c r="P106">
        <f t="shared" si="8"/>
        <v>7.3554333333333333E-2</v>
      </c>
    </row>
    <row r="107" spans="1:16" x14ac:dyDescent="0.3">
      <c r="A107">
        <v>125</v>
      </c>
      <c r="B107">
        <v>0.11899999999999999</v>
      </c>
      <c r="C107">
        <v>0.114</v>
      </c>
      <c r="D107">
        <v>0.13900000000000001</v>
      </c>
      <c r="E107">
        <v>0.19071310116086199</v>
      </c>
      <c r="F107">
        <v>0.16666666666666599</v>
      </c>
      <c r="G107">
        <v>0.22388059701492499</v>
      </c>
      <c r="H107">
        <v>6.1385000000000002E-2</v>
      </c>
      <c r="I107">
        <v>5.9750999999999999E-2</v>
      </c>
      <c r="J107">
        <v>6.6360000000000002E-2</v>
      </c>
      <c r="K107">
        <v>16911</v>
      </c>
      <c r="L107">
        <v>373.06</v>
      </c>
      <c r="N107">
        <f t="shared" si="6"/>
        <v>0.124</v>
      </c>
      <c r="O107">
        <f t="shared" si="7"/>
        <v>0.19375345494748433</v>
      </c>
      <c r="P107">
        <f t="shared" si="8"/>
        <v>6.2498666666666668E-2</v>
      </c>
    </row>
    <row r="108" spans="1:16" x14ac:dyDescent="0.3">
      <c r="A108">
        <v>130</v>
      </c>
      <c r="B108">
        <v>0.11899999999999999</v>
      </c>
      <c r="C108">
        <v>0.1</v>
      </c>
      <c r="D108">
        <v>0.13400000000000001</v>
      </c>
      <c r="E108">
        <v>0.22388059701492499</v>
      </c>
      <c r="F108">
        <v>0.20563847429519</v>
      </c>
      <c r="G108">
        <v>0.24543946932006599</v>
      </c>
      <c r="H108">
        <v>6.5531000000000006E-2</v>
      </c>
      <c r="I108">
        <v>6.3043000000000002E-2</v>
      </c>
      <c r="J108">
        <v>7.7138999999999999E-2</v>
      </c>
      <c r="K108">
        <v>21296.3</v>
      </c>
      <c r="L108">
        <v>411.3</v>
      </c>
      <c r="N108">
        <f t="shared" si="6"/>
        <v>0.11766666666666666</v>
      </c>
      <c r="O108">
        <f t="shared" si="7"/>
        <v>0.22498618021006034</v>
      </c>
      <c r="P108">
        <f t="shared" si="8"/>
        <v>6.8571000000000007E-2</v>
      </c>
    </row>
    <row r="109" spans="1:16" x14ac:dyDescent="0.3">
      <c r="A109">
        <v>135</v>
      </c>
      <c r="B109">
        <v>0.129</v>
      </c>
      <c r="C109">
        <v>0.109</v>
      </c>
      <c r="D109">
        <v>0.14399999999999999</v>
      </c>
      <c r="E109">
        <v>0.19817578772802599</v>
      </c>
      <c r="F109">
        <v>0.20315091210613601</v>
      </c>
      <c r="G109">
        <v>0.23383084577114399</v>
      </c>
      <c r="H109">
        <v>8.2114000000000006E-2</v>
      </c>
      <c r="I109">
        <v>5.6410000000000002E-2</v>
      </c>
      <c r="J109">
        <v>7.8798000000000007E-2</v>
      </c>
      <c r="K109">
        <v>25947.7</v>
      </c>
      <c r="L109">
        <v>433.52</v>
      </c>
      <c r="N109">
        <f t="shared" si="6"/>
        <v>0.12733333333333333</v>
      </c>
      <c r="O109">
        <f t="shared" si="7"/>
        <v>0.21171918186843533</v>
      </c>
      <c r="P109">
        <f t="shared" si="8"/>
        <v>7.2440666666666667E-2</v>
      </c>
    </row>
    <row r="110" spans="1:16" x14ac:dyDescent="0.3">
      <c r="A110">
        <v>140</v>
      </c>
      <c r="B110">
        <v>0.14399999999999999</v>
      </c>
      <c r="C110">
        <v>0.14399999999999999</v>
      </c>
      <c r="D110">
        <v>0.159</v>
      </c>
      <c r="E110">
        <v>0.223051409618573</v>
      </c>
      <c r="F110">
        <v>0.217247097844112</v>
      </c>
      <c r="G110">
        <v>0.23466003316749501</v>
      </c>
      <c r="H110">
        <v>8.7113999999999997E-2</v>
      </c>
      <c r="I110">
        <v>7.0505999999999999E-2</v>
      </c>
      <c r="J110">
        <v>9.1234999999999997E-2</v>
      </c>
      <c r="K110">
        <v>30816.9</v>
      </c>
      <c r="L110">
        <v>530.05999999999995</v>
      </c>
      <c r="N110">
        <f t="shared" si="6"/>
        <v>0.14899999999999999</v>
      </c>
      <c r="O110">
        <f t="shared" si="7"/>
        <v>0.22498618021006001</v>
      </c>
      <c r="P110">
        <f t="shared" si="8"/>
        <v>8.295166666666666E-2</v>
      </c>
    </row>
    <row r="111" spans="1:16" x14ac:dyDescent="0.3">
      <c r="A111">
        <v>145</v>
      </c>
      <c r="B111">
        <v>0.16400000000000001</v>
      </c>
      <c r="C111">
        <v>0.14899999999999999</v>
      </c>
      <c r="D111">
        <v>0.17399999999999999</v>
      </c>
      <c r="E111">
        <v>0.21475953565505801</v>
      </c>
      <c r="F111">
        <v>0.201492537313432</v>
      </c>
      <c r="G111">
        <v>0.25787728026533902</v>
      </c>
      <c r="H111">
        <v>8.3773E-2</v>
      </c>
      <c r="I111">
        <v>7.2164000000000006E-2</v>
      </c>
      <c r="J111">
        <v>8.3773E-2</v>
      </c>
      <c r="K111">
        <v>35727.199999999997</v>
      </c>
      <c r="L111">
        <v>396.52</v>
      </c>
      <c r="N111">
        <f t="shared" si="6"/>
        <v>0.16233333333333333</v>
      </c>
      <c r="O111">
        <f t="shared" si="7"/>
        <v>0.22470978441127634</v>
      </c>
      <c r="P111">
        <f t="shared" si="8"/>
        <v>7.9903333333333326E-2</v>
      </c>
    </row>
    <row r="112" spans="1:16" x14ac:dyDescent="0.3">
      <c r="A112">
        <v>150</v>
      </c>
      <c r="B112">
        <v>0.154</v>
      </c>
      <c r="C112">
        <v>0.14899999999999999</v>
      </c>
      <c r="D112">
        <v>0.154</v>
      </c>
      <c r="E112">
        <v>0.22056384742951901</v>
      </c>
      <c r="F112">
        <v>0.20315091210613501</v>
      </c>
      <c r="G112">
        <v>0.233001658374792</v>
      </c>
      <c r="H112">
        <v>8.7090000000000001E-2</v>
      </c>
      <c r="I112">
        <v>6.9677000000000003E-2</v>
      </c>
      <c r="J112">
        <v>8.7090000000000001E-2</v>
      </c>
      <c r="K112">
        <v>41015.300000000003</v>
      </c>
      <c r="L112">
        <v>545</v>
      </c>
      <c r="N112">
        <f t="shared" si="6"/>
        <v>0.15233333333333332</v>
      </c>
      <c r="O112">
        <f t="shared" si="7"/>
        <v>0.21890547263681534</v>
      </c>
      <c r="P112">
        <f t="shared" si="8"/>
        <v>8.1285666666666659E-2</v>
      </c>
    </row>
    <row r="113" spans="1:16" x14ac:dyDescent="0.3">
      <c r="A113">
        <v>155</v>
      </c>
      <c r="B113">
        <v>0.17399999999999999</v>
      </c>
      <c r="C113">
        <v>0.16900000000000001</v>
      </c>
      <c r="D113">
        <v>0.16900000000000001</v>
      </c>
      <c r="E113">
        <v>0.23714759535655</v>
      </c>
      <c r="F113">
        <v>0.26202321724709698</v>
      </c>
      <c r="G113">
        <v>0.276948590381426</v>
      </c>
      <c r="H113">
        <v>9.7040000000000001E-2</v>
      </c>
      <c r="I113">
        <v>7.4651999999999996E-2</v>
      </c>
      <c r="J113">
        <v>9.7040000000000001E-2</v>
      </c>
      <c r="K113">
        <v>41437.599999999999</v>
      </c>
      <c r="L113">
        <v>17.39</v>
      </c>
      <c r="N113">
        <f t="shared" si="6"/>
        <v>0.17066666666666666</v>
      </c>
      <c r="O113">
        <f t="shared" si="7"/>
        <v>0.25870646766169098</v>
      </c>
      <c r="P113">
        <f t="shared" si="8"/>
        <v>8.9577333333333342E-2</v>
      </c>
    </row>
    <row r="114" spans="1:16" x14ac:dyDescent="0.3">
      <c r="A114">
        <v>160</v>
      </c>
      <c r="B114">
        <v>0.16900000000000001</v>
      </c>
      <c r="C114">
        <v>0.16400000000000001</v>
      </c>
      <c r="D114">
        <v>0.189</v>
      </c>
      <c r="E114">
        <v>0.24046434494195601</v>
      </c>
      <c r="F114">
        <v>0.207296849087893</v>
      </c>
      <c r="G114">
        <v>0.25373134328358199</v>
      </c>
      <c r="H114">
        <v>8.2944000000000004E-2</v>
      </c>
      <c r="I114">
        <v>7.6310000000000003E-2</v>
      </c>
      <c r="J114">
        <v>8.9577000000000004E-2</v>
      </c>
      <c r="K114">
        <v>14888.9</v>
      </c>
      <c r="L114">
        <v>331.97</v>
      </c>
      <c r="N114">
        <f t="shared" si="6"/>
        <v>0.17400000000000002</v>
      </c>
      <c r="O114">
        <f t="shared" si="7"/>
        <v>0.23383084577114369</v>
      </c>
      <c r="P114">
        <f t="shared" si="8"/>
        <v>8.2943666666666679E-2</v>
      </c>
    </row>
    <row r="115" spans="1:16" x14ac:dyDescent="0.3">
      <c r="A115">
        <v>165</v>
      </c>
      <c r="B115">
        <v>0.184</v>
      </c>
      <c r="C115">
        <v>0.17399999999999999</v>
      </c>
      <c r="D115">
        <v>0.19400000000000001</v>
      </c>
      <c r="E115">
        <v>0.26202321724709698</v>
      </c>
      <c r="F115">
        <v>0.23631840796019901</v>
      </c>
      <c r="G115">
        <v>0.27280265339966803</v>
      </c>
      <c r="H115">
        <v>0.100357</v>
      </c>
      <c r="I115">
        <v>8.2944000000000004E-2</v>
      </c>
      <c r="J115">
        <v>0.121086</v>
      </c>
      <c r="K115">
        <v>20168.099999999999</v>
      </c>
      <c r="L115">
        <v>112.16</v>
      </c>
      <c r="N115">
        <f t="shared" si="6"/>
        <v>0.18400000000000002</v>
      </c>
      <c r="O115">
        <f t="shared" si="7"/>
        <v>0.257048092868988</v>
      </c>
      <c r="P115">
        <f t="shared" si="8"/>
        <v>0.10146233333333332</v>
      </c>
    </row>
    <row r="116" spans="1:16" x14ac:dyDescent="0.3">
      <c r="A116">
        <v>170</v>
      </c>
      <c r="B116">
        <v>0.22900000000000001</v>
      </c>
      <c r="C116">
        <v>0.19900000000000001</v>
      </c>
      <c r="D116">
        <v>0.20399999999999999</v>
      </c>
      <c r="E116">
        <v>0.29104477611940299</v>
      </c>
      <c r="F116">
        <v>0.27611940298507398</v>
      </c>
      <c r="G116">
        <v>0.27529021558872302</v>
      </c>
      <c r="H116">
        <v>0.10616100000000001</v>
      </c>
      <c r="I116">
        <v>9.2894000000000004E-2</v>
      </c>
      <c r="J116">
        <v>0.120257</v>
      </c>
      <c r="K116">
        <v>26016.9</v>
      </c>
      <c r="L116">
        <v>529.91999999999996</v>
      </c>
      <c r="N116">
        <f t="shared" si="6"/>
        <v>0.21066666666666667</v>
      </c>
      <c r="O116">
        <f t="shared" si="7"/>
        <v>0.2808181315644</v>
      </c>
      <c r="P116">
        <f t="shared" si="8"/>
        <v>0.10643733333333334</v>
      </c>
    </row>
    <row r="117" spans="1:16" x14ac:dyDescent="0.3">
      <c r="A117">
        <v>175</v>
      </c>
      <c r="B117">
        <v>0.214</v>
      </c>
      <c r="C117">
        <v>0.189</v>
      </c>
      <c r="D117">
        <v>0.214</v>
      </c>
      <c r="E117">
        <v>0.262852404643449</v>
      </c>
      <c r="F117">
        <v>0.24461028192371401</v>
      </c>
      <c r="G117">
        <v>0.25207296849087801</v>
      </c>
      <c r="H117">
        <v>0.114453</v>
      </c>
      <c r="I117">
        <v>8.7090000000000001E-2</v>
      </c>
      <c r="J117">
        <v>0.115282</v>
      </c>
      <c r="K117">
        <v>32076.6</v>
      </c>
      <c r="L117">
        <v>502.09</v>
      </c>
      <c r="N117">
        <f t="shared" si="6"/>
        <v>0.20566666666666666</v>
      </c>
      <c r="O117">
        <f t="shared" si="7"/>
        <v>0.25317855168601366</v>
      </c>
      <c r="P117">
        <f t="shared" si="8"/>
        <v>0.10560833333333335</v>
      </c>
    </row>
    <row r="118" spans="1:16" x14ac:dyDescent="0.3">
      <c r="A118">
        <v>180</v>
      </c>
      <c r="B118">
        <v>0.22900000000000001</v>
      </c>
      <c r="C118">
        <v>0.20899999999999999</v>
      </c>
      <c r="D118">
        <v>0.23400000000000001</v>
      </c>
      <c r="E118">
        <v>0.28524046434494099</v>
      </c>
      <c r="F118">
        <v>0.26451077943615198</v>
      </c>
      <c r="G118">
        <v>0.29601990049751198</v>
      </c>
      <c r="H118">
        <v>0.10699</v>
      </c>
      <c r="I118">
        <v>0.100357</v>
      </c>
      <c r="J118">
        <v>0.13684099999999999</v>
      </c>
      <c r="K118">
        <v>38169.1</v>
      </c>
      <c r="L118">
        <v>515.95000000000005</v>
      </c>
      <c r="N118">
        <f t="shared" si="6"/>
        <v>0.224</v>
      </c>
      <c r="O118">
        <f t="shared" si="7"/>
        <v>0.28192371475953498</v>
      </c>
      <c r="P118">
        <f t="shared" si="8"/>
        <v>0.11472933333333334</v>
      </c>
    </row>
    <row r="119" spans="1:16" x14ac:dyDescent="0.3">
      <c r="A119">
        <v>185</v>
      </c>
      <c r="B119">
        <v>0.22900000000000001</v>
      </c>
      <c r="C119">
        <v>0.224</v>
      </c>
      <c r="D119">
        <v>0.23400000000000001</v>
      </c>
      <c r="E119">
        <v>0.29684908789386399</v>
      </c>
      <c r="F119">
        <v>0.27611940298507398</v>
      </c>
      <c r="G119">
        <v>0.302653399668325</v>
      </c>
      <c r="H119">
        <v>0.121915</v>
      </c>
      <c r="I119">
        <v>9.2894000000000004E-2</v>
      </c>
      <c r="J119">
        <v>0.10947800000000001</v>
      </c>
      <c r="K119">
        <v>42183.1</v>
      </c>
      <c r="L119">
        <v>96.14</v>
      </c>
      <c r="N119">
        <f t="shared" si="6"/>
        <v>0.22900000000000001</v>
      </c>
      <c r="O119">
        <f t="shared" si="7"/>
        <v>0.29187396351575434</v>
      </c>
      <c r="P119">
        <f t="shared" si="8"/>
        <v>0.10809566666666666</v>
      </c>
    </row>
    <row r="120" spans="1:16" x14ac:dyDescent="0.3">
      <c r="A120">
        <v>190</v>
      </c>
      <c r="B120">
        <v>0.23899999999999999</v>
      </c>
      <c r="C120">
        <v>0.214</v>
      </c>
      <c r="D120">
        <v>0.219</v>
      </c>
      <c r="E120">
        <v>0.26865671641791</v>
      </c>
      <c r="F120">
        <v>0.25207296849087801</v>
      </c>
      <c r="G120">
        <v>0.27197346600331601</v>
      </c>
      <c r="H120">
        <v>0.13103600000000001</v>
      </c>
      <c r="I120">
        <v>0.11942800000000001</v>
      </c>
      <c r="J120">
        <v>0.14430299999999999</v>
      </c>
      <c r="K120">
        <v>19018.599999999999</v>
      </c>
      <c r="L120">
        <v>314.11</v>
      </c>
      <c r="N120">
        <f t="shared" si="6"/>
        <v>0.22399999999999998</v>
      </c>
      <c r="O120">
        <f t="shared" si="7"/>
        <v>0.26423438363736801</v>
      </c>
      <c r="P120">
        <f t="shared" si="8"/>
        <v>0.13158899999999998</v>
      </c>
    </row>
    <row r="121" spans="1:16" x14ac:dyDescent="0.3">
      <c r="A121">
        <v>195</v>
      </c>
      <c r="B121">
        <v>0.24399999999999999</v>
      </c>
      <c r="C121">
        <v>0.224</v>
      </c>
      <c r="D121">
        <v>0.249</v>
      </c>
      <c r="E121">
        <v>0.27611940298507398</v>
      </c>
      <c r="F121">
        <v>0.25041459369817498</v>
      </c>
      <c r="G121">
        <v>0.30182421227197298</v>
      </c>
      <c r="H121">
        <v>0.121915</v>
      </c>
      <c r="I121">
        <v>0.113624</v>
      </c>
      <c r="J121">
        <v>0.120257</v>
      </c>
      <c r="K121">
        <v>25488.799999999999</v>
      </c>
      <c r="L121">
        <v>551.77</v>
      </c>
      <c r="N121">
        <f t="shared" si="6"/>
        <v>0.23899999999999999</v>
      </c>
      <c r="O121">
        <f t="shared" si="7"/>
        <v>0.27611940298507398</v>
      </c>
      <c r="P121">
        <f t="shared" si="8"/>
        <v>0.11859866666666667</v>
      </c>
    </row>
    <row r="122" spans="1:16" x14ac:dyDescent="0.3">
      <c r="A122">
        <v>200</v>
      </c>
      <c r="B122">
        <v>0.24399999999999999</v>
      </c>
      <c r="C122">
        <v>0.22900000000000001</v>
      </c>
      <c r="D122">
        <v>0.254</v>
      </c>
      <c r="E122">
        <v>0.31674958540630099</v>
      </c>
      <c r="F122">
        <v>0.28109452736318402</v>
      </c>
      <c r="G122">
        <v>0.31509121061359802</v>
      </c>
      <c r="H122">
        <v>0.110307</v>
      </c>
      <c r="I122">
        <v>8.6260000000000003E-2</v>
      </c>
      <c r="J122">
        <v>0.114453</v>
      </c>
      <c r="K122">
        <v>30298.2</v>
      </c>
      <c r="L122">
        <v>491.03</v>
      </c>
      <c r="N122">
        <f t="shared" si="6"/>
        <v>0.24233333333333332</v>
      </c>
      <c r="O122">
        <f t="shared" si="7"/>
        <v>0.3043117744610277</v>
      </c>
      <c r="P122">
        <f t="shared" si="8"/>
        <v>0.10367333333333333</v>
      </c>
    </row>
    <row r="123" spans="1:16" x14ac:dyDescent="0.3">
      <c r="A123">
        <v>205</v>
      </c>
      <c r="B123">
        <v>0.26400000000000001</v>
      </c>
      <c r="C123">
        <v>0.254</v>
      </c>
      <c r="D123">
        <v>0.28399999999999997</v>
      </c>
      <c r="E123">
        <v>0.33333333333333298</v>
      </c>
      <c r="F123">
        <v>0.32504145936981699</v>
      </c>
      <c r="G123">
        <v>0.32752902155887198</v>
      </c>
      <c r="H123">
        <v>0.13103600000000001</v>
      </c>
      <c r="I123">
        <v>0.100357</v>
      </c>
      <c r="J123">
        <v>0.13186600000000001</v>
      </c>
      <c r="K123">
        <v>37164.1</v>
      </c>
      <c r="L123">
        <v>328.09</v>
      </c>
      <c r="N123">
        <f t="shared" si="6"/>
        <v>0.26733333333333337</v>
      </c>
      <c r="O123">
        <f t="shared" si="7"/>
        <v>0.32863460475400735</v>
      </c>
      <c r="P123">
        <f t="shared" si="8"/>
        <v>0.12108633333333334</v>
      </c>
    </row>
    <row r="124" spans="1:16" x14ac:dyDescent="0.3">
      <c r="A124">
        <v>210</v>
      </c>
      <c r="B124">
        <v>0.25900000000000001</v>
      </c>
      <c r="C124">
        <v>0.24399999999999999</v>
      </c>
      <c r="D124">
        <v>0.28899999999999998</v>
      </c>
      <c r="E124">
        <v>0.320066334991708</v>
      </c>
      <c r="F124">
        <v>0.28689883913764502</v>
      </c>
      <c r="G124">
        <v>0.31592039800994998</v>
      </c>
      <c r="H124">
        <v>0.16669200000000001</v>
      </c>
      <c r="I124">
        <v>0.15342500000000001</v>
      </c>
      <c r="J124">
        <v>0.17332500000000001</v>
      </c>
      <c r="K124">
        <v>41116.699999999997</v>
      </c>
      <c r="L124">
        <v>115.22</v>
      </c>
      <c r="N124">
        <f t="shared" si="6"/>
        <v>0.26400000000000001</v>
      </c>
      <c r="O124">
        <f t="shared" si="7"/>
        <v>0.30762852404643432</v>
      </c>
      <c r="P124">
        <f t="shared" si="8"/>
        <v>0.16448066666666666</v>
      </c>
    </row>
    <row r="125" spans="1:16" x14ac:dyDescent="0.3">
      <c r="A125">
        <v>215</v>
      </c>
      <c r="B125">
        <v>0.27900000000000003</v>
      </c>
      <c r="C125">
        <v>0.25900000000000001</v>
      </c>
      <c r="D125">
        <v>0.26900000000000002</v>
      </c>
      <c r="E125">
        <v>0.33830845771144202</v>
      </c>
      <c r="F125">
        <v>0.302653399668325</v>
      </c>
      <c r="G125">
        <v>0.33665008291873899</v>
      </c>
      <c r="H125">
        <v>0.14430299999999999</v>
      </c>
      <c r="I125">
        <v>0.128549</v>
      </c>
      <c r="J125">
        <v>0.155912</v>
      </c>
      <c r="K125">
        <v>20516.7</v>
      </c>
      <c r="L125">
        <v>237.7</v>
      </c>
      <c r="N125">
        <f t="shared" si="6"/>
        <v>0.26900000000000002</v>
      </c>
      <c r="O125">
        <f t="shared" si="7"/>
        <v>0.32587064676616867</v>
      </c>
      <c r="P125">
        <f t="shared" si="8"/>
        <v>0.14292133333333332</v>
      </c>
    </row>
    <row r="126" spans="1:16" x14ac:dyDescent="0.3">
      <c r="A126">
        <v>220</v>
      </c>
      <c r="B126">
        <v>0.28899999999999998</v>
      </c>
      <c r="C126">
        <v>0.26400000000000001</v>
      </c>
      <c r="D126">
        <v>0.29399999999999998</v>
      </c>
      <c r="E126">
        <v>0.33913764510779398</v>
      </c>
      <c r="F126">
        <v>0.31343283582089498</v>
      </c>
      <c r="G126">
        <v>0.33167495854063</v>
      </c>
      <c r="H126">
        <v>0.15840000000000001</v>
      </c>
      <c r="I126">
        <v>0.14430299999999999</v>
      </c>
      <c r="J126">
        <v>0.17083699999999999</v>
      </c>
      <c r="K126">
        <v>27784.3</v>
      </c>
      <c r="L126">
        <v>409.64</v>
      </c>
      <c r="N126">
        <f t="shared" si="6"/>
        <v>0.28233333333333333</v>
      </c>
      <c r="O126">
        <f t="shared" si="7"/>
        <v>0.32808181315643964</v>
      </c>
      <c r="P126">
        <f t="shared" si="8"/>
        <v>0.15784666666666666</v>
      </c>
    </row>
    <row r="127" spans="1:16" x14ac:dyDescent="0.3">
      <c r="A127">
        <v>225</v>
      </c>
      <c r="B127">
        <v>0.29899999999999999</v>
      </c>
      <c r="C127">
        <v>0.29399999999999998</v>
      </c>
      <c r="D127">
        <v>0.308</v>
      </c>
      <c r="E127">
        <v>0.354063018242122</v>
      </c>
      <c r="F127">
        <v>0.37810945273631802</v>
      </c>
      <c r="G127">
        <v>0.37645107794361499</v>
      </c>
      <c r="H127">
        <v>0.149279</v>
      </c>
      <c r="I127">
        <v>0.124403</v>
      </c>
      <c r="J127">
        <v>0.141816</v>
      </c>
      <c r="K127">
        <v>35362.800000000003</v>
      </c>
      <c r="L127">
        <v>476.98</v>
      </c>
      <c r="N127">
        <f t="shared" si="6"/>
        <v>0.30033333333333334</v>
      </c>
      <c r="O127">
        <f t="shared" si="7"/>
        <v>0.36954118297401833</v>
      </c>
      <c r="P127">
        <f t="shared" si="8"/>
        <v>0.13849933333333334</v>
      </c>
    </row>
    <row r="128" spans="1:16" x14ac:dyDescent="0.3">
      <c r="A128">
        <v>230</v>
      </c>
      <c r="B128">
        <v>0.318</v>
      </c>
      <c r="C128">
        <v>0.30299999999999999</v>
      </c>
      <c r="D128">
        <v>0.318</v>
      </c>
      <c r="E128">
        <v>0.36235489220563799</v>
      </c>
      <c r="F128">
        <v>0.35240464344941902</v>
      </c>
      <c r="G128">
        <v>0.37479270315091201</v>
      </c>
      <c r="H128">
        <v>0.12772</v>
      </c>
      <c r="I128">
        <v>0.10616100000000001</v>
      </c>
      <c r="J128">
        <v>0.13932800000000001</v>
      </c>
      <c r="K128">
        <v>43031.8</v>
      </c>
      <c r="L128">
        <v>460.73</v>
      </c>
      <c r="N128">
        <f t="shared" si="6"/>
        <v>0.313</v>
      </c>
      <c r="O128">
        <f t="shared" si="7"/>
        <v>0.36318407960198967</v>
      </c>
      <c r="P128">
        <f t="shared" si="8"/>
        <v>0.124403</v>
      </c>
    </row>
    <row r="129" spans="1:16" x14ac:dyDescent="0.3">
      <c r="A129">
        <v>235</v>
      </c>
      <c r="B129">
        <v>0.318</v>
      </c>
      <c r="C129">
        <v>0.30299999999999999</v>
      </c>
      <c r="D129">
        <v>0.318</v>
      </c>
      <c r="E129">
        <v>0.385572139303482</v>
      </c>
      <c r="F129">
        <v>0.35074626865671599</v>
      </c>
      <c r="G129">
        <v>0.37313432835820898</v>
      </c>
      <c r="H129">
        <v>0.17000799999999999</v>
      </c>
      <c r="I129">
        <v>0.149279</v>
      </c>
      <c r="J129">
        <v>0.175813</v>
      </c>
      <c r="K129">
        <v>44645.9</v>
      </c>
      <c r="L129">
        <v>118.67</v>
      </c>
      <c r="N129">
        <f t="shared" si="6"/>
        <v>0.313</v>
      </c>
      <c r="O129">
        <f t="shared" si="7"/>
        <v>0.36981757877280236</v>
      </c>
      <c r="P129">
        <f t="shared" si="8"/>
        <v>0.16503333333333334</v>
      </c>
    </row>
    <row r="130" spans="1:16" x14ac:dyDescent="0.3">
      <c r="A130">
        <v>240</v>
      </c>
      <c r="B130">
        <v>0.32800000000000001</v>
      </c>
      <c r="C130">
        <v>0.30299999999999999</v>
      </c>
      <c r="D130">
        <v>0.318</v>
      </c>
      <c r="E130">
        <v>0.34991708126036403</v>
      </c>
      <c r="F130">
        <v>0.339966832504146</v>
      </c>
      <c r="G130">
        <v>0.35655058043117699</v>
      </c>
      <c r="H130">
        <v>0.174154</v>
      </c>
      <c r="I130">
        <v>0.14596200000000001</v>
      </c>
      <c r="J130">
        <v>0.17995900000000001</v>
      </c>
      <c r="K130">
        <v>24121</v>
      </c>
      <c r="L130">
        <v>352.06</v>
      </c>
      <c r="N130">
        <f t="shared" si="6"/>
        <v>0.31633333333333336</v>
      </c>
      <c r="O130">
        <f t="shared" si="7"/>
        <v>0.34881149806522904</v>
      </c>
      <c r="P130">
        <f t="shared" si="8"/>
        <v>0.16669166666666668</v>
      </c>
    </row>
    <row r="131" spans="1:16" x14ac:dyDescent="0.3">
      <c r="A131">
        <v>245</v>
      </c>
      <c r="B131">
        <v>0.35299999999999998</v>
      </c>
      <c r="C131">
        <v>0.33800000000000002</v>
      </c>
      <c r="D131">
        <v>0.34799999999999998</v>
      </c>
      <c r="E131">
        <v>0.38888888888888801</v>
      </c>
      <c r="F131">
        <v>0.377280265339966</v>
      </c>
      <c r="G131">
        <v>0.39054726368159198</v>
      </c>
      <c r="H131">
        <v>0.17083699999999999</v>
      </c>
      <c r="I131">
        <v>0.167521</v>
      </c>
      <c r="J131">
        <v>0.19073799999999999</v>
      </c>
      <c r="K131">
        <v>29753.5</v>
      </c>
      <c r="L131">
        <v>706.73</v>
      </c>
      <c r="N131">
        <f t="shared" si="6"/>
        <v>0.34633333333333338</v>
      </c>
      <c r="O131">
        <f t="shared" si="7"/>
        <v>0.38557213930348205</v>
      </c>
      <c r="P131">
        <f t="shared" si="8"/>
        <v>0.17636533333333335</v>
      </c>
    </row>
    <row r="132" spans="1:16" x14ac:dyDescent="0.3">
      <c r="A132">
        <v>250</v>
      </c>
      <c r="B132">
        <v>0.35299999999999998</v>
      </c>
      <c r="C132">
        <v>0.34300000000000003</v>
      </c>
      <c r="D132">
        <v>0.35299999999999998</v>
      </c>
      <c r="E132">
        <v>0.41293532338308397</v>
      </c>
      <c r="F132">
        <v>0.38805970149253699</v>
      </c>
      <c r="G132">
        <v>0.39220563847429502</v>
      </c>
      <c r="H132">
        <v>0.19239600000000001</v>
      </c>
      <c r="I132">
        <v>0.175813</v>
      </c>
      <c r="J132">
        <v>0.20400499999999999</v>
      </c>
      <c r="K132">
        <v>37529.1</v>
      </c>
      <c r="L132">
        <v>704.8</v>
      </c>
      <c r="N132">
        <f t="shared" si="6"/>
        <v>0.34966666666666663</v>
      </c>
      <c r="O132">
        <f t="shared" si="7"/>
        <v>0.39773355444997199</v>
      </c>
      <c r="P132">
        <f t="shared" si="8"/>
        <v>0.19073799999999999</v>
      </c>
    </row>
    <row r="133" spans="1:16" x14ac:dyDescent="0.3">
      <c r="A133">
        <v>255</v>
      </c>
      <c r="B133">
        <v>0.40799999999999997</v>
      </c>
      <c r="C133">
        <v>0.39800000000000002</v>
      </c>
      <c r="D133">
        <v>0.38800000000000001</v>
      </c>
      <c r="E133">
        <v>0.44112769485903802</v>
      </c>
      <c r="F133">
        <v>0.422885572139303</v>
      </c>
      <c r="G133">
        <v>0.43864013266998297</v>
      </c>
      <c r="H133">
        <v>0.19239600000000001</v>
      </c>
      <c r="I133">
        <v>0.19073799999999999</v>
      </c>
      <c r="J133">
        <v>0.20732200000000001</v>
      </c>
      <c r="K133">
        <v>31207</v>
      </c>
      <c r="L133">
        <v>152.91999999999999</v>
      </c>
      <c r="N133">
        <f t="shared" si="6"/>
        <v>0.39799999999999996</v>
      </c>
      <c r="O133">
        <f t="shared" si="7"/>
        <v>0.43421779988944137</v>
      </c>
      <c r="P133">
        <f t="shared" si="8"/>
        <v>0.19681866666666667</v>
      </c>
    </row>
    <row r="134" spans="1:16" x14ac:dyDescent="0.3">
      <c r="A134">
        <v>260</v>
      </c>
      <c r="B134">
        <v>0.36299999999999999</v>
      </c>
      <c r="C134">
        <v>0.33800000000000002</v>
      </c>
      <c r="D134">
        <v>0.34799999999999998</v>
      </c>
      <c r="E134">
        <v>0.42537313432835799</v>
      </c>
      <c r="F134">
        <v>0.37479270315091201</v>
      </c>
      <c r="G134">
        <v>0.39966832504145899</v>
      </c>
      <c r="H134">
        <v>0.21063799999999999</v>
      </c>
      <c r="I134">
        <v>0.19156699999999999</v>
      </c>
      <c r="J134">
        <v>0.21063799999999999</v>
      </c>
      <c r="K134">
        <v>22817.3</v>
      </c>
      <c r="L134">
        <v>449.34</v>
      </c>
      <c r="N134">
        <f t="shared" si="6"/>
        <v>0.34966666666666663</v>
      </c>
      <c r="O134">
        <f t="shared" si="7"/>
        <v>0.39994472084024296</v>
      </c>
      <c r="P134">
        <f t="shared" si="8"/>
        <v>0.20428100000000002</v>
      </c>
    </row>
    <row r="135" spans="1:16" x14ac:dyDescent="0.3">
      <c r="A135">
        <v>265</v>
      </c>
      <c r="B135">
        <v>0.41299999999999998</v>
      </c>
      <c r="C135">
        <v>0.40300000000000002</v>
      </c>
      <c r="D135">
        <v>0.39300000000000002</v>
      </c>
      <c r="E135">
        <v>0.44361525704809202</v>
      </c>
      <c r="F135">
        <v>0.43200663349917001</v>
      </c>
      <c r="G135">
        <v>0.45024875621890498</v>
      </c>
      <c r="H135">
        <v>0.20898</v>
      </c>
      <c r="I135">
        <v>0.19654199999999999</v>
      </c>
      <c r="J135">
        <v>0.214784</v>
      </c>
      <c r="K135">
        <v>24782</v>
      </c>
      <c r="L135">
        <v>589.03</v>
      </c>
      <c r="N135">
        <f t="shared" si="6"/>
        <v>0.40300000000000002</v>
      </c>
      <c r="O135">
        <f t="shared" si="7"/>
        <v>0.44195688225538898</v>
      </c>
      <c r="P135">
        <f t="shared" si="8"/>
        <v>0.20676866666666668</v>
      </c>
    </row>
    <row r="136" spans="1:16" x14ac:dyDescent="0.3">
      <c r="A136">
        <v>270</v>
      </c>
      <c r="B136">
        <v>0.40799999999999997</v>
      </c>
      <c r="C136">
        <v>0.39300000000000002</v>
      </c>
      <c r="D136">
        <v>0.39800000000000002</v>
      </c>
      <c r="E136">
        <v>0.46351575456053001</v>
      </c>
      <c r="F136">
        <v>0.43532338308457702</v>
      </c>
      <c r="G136">
        <v>0.462686567164179</v>
      </c>
      <c r="H136">
        <v>0.21893000000000001</v>
      </c>
      <c r="I136">
        <v>0.21727199999999999</v>
      </c>
      <c r="J136">
        <v>0.23966000000000001</v>
      </c>
      <c r="K136">
        <v>30743.4</v>
      </c>
      <c r="L136">
        <v>712.33</v>
      </c>
      <c r="N136">
        <f t="shared" si="6"/>
        <v>0.39966666666666661</v>
      </c>
      <c r="O136">
        <f t="shared" si="7"/>
        <v>0.45384190160309529</v>
      </c>
      <c r="P136">
        <f t="shared" si="8"/>
        <v>0.22528733333333331</v>
      </c>
    </row>
    <row r="137" spans="1:16" x14ac:dyDescent="0.3">
      <c r="A137">
        <v>275</v>
      </c>
      <c r="B137">
        <v>0.42299999999999999</v>
      </c>
      <c r="C137">
        <v>0.40799999999999997</v>
      </c>
      <c r="D137">
        <v>0.41799999999999998</v>
      </c>
      <c r="E137">
        <v>0.44941956882255302</v>
      </c>
      <c r="F137">
        <v>0.43864013266998297</v>
      </c>
      <c r="G137">
        <v>0.46351575456053001</v>
      </c>
      <c r="H137">
        <v>0.195713</v>
      </c>
      <c r="I137">
        <v>0.162546</v>
      </c>
      <c r="J137">
        <v>0.20898</v>
      </c>
      <c r="K137">
        <v>26358.9</v>
      </c>
      <c r="L137">
        <v>341.19</v>
      </c>
      <c r="N137">
        <f t="shared" si="6"/>
        <v>0.41633333333333328</v>
      </c>
      <c r="O137">
        <f t="shared" si="7"/>
        <v>0.45052515201768867</v>
      </c>
      <c r="P137">
        <f t="shared" si="8"/>
        <v>0.18907966666666667</v>
      </c>
    </row>
    <row r="138" spans="1:16" x14ac:dyDescent="0.3">
      <c r="A138">
        <v>280</v>
      </c>
      <c r="B138">
        <v>0.438</v>
      </c>
      <c r="C138">
        <v>0.438</v>
      </c>
      <c r="D138">
        <v>0.438</v>
      </c>
      <c r="E138">
        <v>0.46351575456053001</v>
      </c>
      <c r="F138">
        <v>0.47761194029850701</v>
      </c>
      <c r="G138">
        <v>0.460199004975124</v>
      </c>
      <c r="H138">
        <v>0.223076</v>
      </c>
      <c r="I138">
        <v>0.22971</v>
      </c>
      <c r="J138">
        <v>0.248781</v>
      </c>
      <c r="K138">
        <v>31046.3</v>
      </c>
      <c r="L138">
        <v>350.02</v>
      </c>
      <c r="N138">
        <f t="shared" si="6"/>
        <v>0.438</v>
      </c>
      <c r="O138">
        <f t="shared" si="7"/>
        <v>0.46710889994472032</v>
      </c>
      <c r="P138">
        <f t="shared" si="8"/>
        <v>0.23385566666666668</v>
      </c>
    </row>
    <row r="139" spans="1:16" x14ac:dyDescent="0.3">
      <c r="A139">
        <v>285</v>
      </c>
      <c r="B139">
        <v>0.46800000000000003</v>
      </c>
      <c r="C139">
        <v>0.45300000000000001</v>
      </c>
      <c r="D139">
        <v>0.47299999999999998</v>
      </c>
      <c r="E139">
        <v>0.48175787728026498</v>
      </c>
      <c r="F139">
        <v>0.47014925373134298</v>
      </c>
      <c r="G139">
        <v>0.482587064676616</v>
      </c>
      <c r="H139">
        <v>0.236343</v>
      </c>
      <c r="I139">
        <v>0.22639300000000001</v>
      </c>
      <c r="J139">
        <v>0.262048</v>
      </c>
      <c r="K139">
        <v>34818.699999999997</v>
      </c>
      <c r="L139">
        <v>958.38</v>
      </c>
      <c r="N139">
        <f t="shared" si="6"/>
        <v>0.46466666666666673</v>
      </c>
      <c r="O139">
        <f t="shared" si="7"/>
        <v>0.47816473189607467</v>
      </c>
      <c r="P139">
        <f t="shared" si="8"/>
        <v>0.24159466666666671</v>
      </c>
    </row>
    <row r="140" spans="1:16" x14ac:dyDescent="0.3">
      <c r="A140">
        <v>290</v>
      </c>
      <c r="B140">
        <v>0.48299999999999998</v>
      </c>
      <c r="C140">
        <v>0.47299999999999998</v>
      </c>
      <c r="D140">
        <v>0.49299999999999999</v>
      </c>
      <c r="E140">
        <v>0.49004975124378097</v>
      </c>
      <c r="F140">
        <v>0.47761194029850701</v>
      </c>
      <c r="G140">
        <v>0.49502487562189001</v>
      </c>
      <c r="H140">
        <v>0.23966000000000001</v>
      </c>
      <c r="I140">
        <v>0.24961</v>
      </c>
      <c r="J140">
        <v>0.263706</v>
      </c>
      <c r="K140">
        <v>44115.1</v>
      </c>
      <c r="L140">
        <v>1057.42</v>
      </c>
      <c r="N140">
        <f t="shared" si="6"/>
        <v>0.48299999999999993</v>
      </c>
      <c r="O140">
        <f t="shared" si="7"/>
        <v>0.48756218905472598</v>
      </c>
      <c r="P140">
        <f t="shared" si="8"/>
        <v>0.25099199999999999</v>
      </c>
    </row>
    <row r="141" spans="1:16" x14ac:dyDescent="0.3">
      <c r="A141">
        <v>295</v>
      </c>
      <c r="B141">
        <v>0.48299999999999998</v>
      </c>
      <c r="C141">
        <v>0.47299999999999998</v>
      </c>
      <c r="D141">
        <v>0.49299999999999999</v>
      </c>
      <c r="E141">
        <v>0.50414593698175703</v>
      </c>
      <c r="F141">
        <v>0.51077943615257004</v>
      </c>
      <c r="G141">
        <v>0.51741293532338295</v>
      </c>
      <c r="H141">
        <v>0.27034000000000002</v>
      </c>
      <c r="I141">
        <v>0.25375599999999998</v>
      </c>
      <c r="J141">
        <v>0.269511</v>
      </c>
      <c r="K141">
        <v>26340.799999999999</v>
      </c>
      <c r="L141">
        <v>257.27999999999997</v>
      </c>
      <c r="N141">
        <f t="shared" si="6"/>
        <v>0.48299999999999993</v>
      </c>
      <c r="O141">
        <f t="shared" si="7"/>
        <v>0.51077943615257004</v>
      </c>
      <c r="P141">
        <f t="shared" si="8"/>
        <v>0.26453566666666667</v>
      </c>
    </row>
    <row r="142" spans="1:16" x14ac:dyDescent="0.3">
      <c r="A142">
        <v>300</v>
      </c>
      <c r="B142">
        <v>0.498</v>
      </c>
      <c r="C142">
        <v>0.502</v>
      </c>
      <c r="D142">
        <v>0.51200000000000001</v>
      </c>
      <c r="E142">
        <v>0.51243781094527296</v>
      </c>
      <c r="F142">
        <v>0.52238805970149205</v>
      </c>
      <c r="G142">
        <v>0.53067993366500799</v>
      </c>
      <c r="H142">
        <v>0.276144</v>
      </c>
      <c r="I142">
        <v>0.26702300000000001</v>
      </c>
      <c r="J142">
        <v>0.28028999999999998</v>
      </c>
      <c r="K142">
        <v>21563.8</v>
      </c>
      <c r="L142">
        <v>709.14</v>
      </c>
      <c r="N142">
        <f t="shared" si="6"/>
        <v>0.504</v>
      </c>
      <c r="O142">
        <f t="shared" si="7"/>
        <v>0.52183526810392433</v>
      </c>
      <c r="P142">
        <f t="shared" si="8"/>
        <v>0.27448566666666663</v>
      </c>
    </row>
    <row r="143" spans="1:16" x14ac:dyDescent="0.3">
      <c r="A143">
        <v>305</v>
      </c>
      <c r="B143">
        <v>0.53200000000000003</v>
      </c>
      <c r="C143">
        <v>0.52700000000000002</v>
      </c>
      <c r="D143">
        <v>0.52700000000000002</v>
      </c>
      <c r="E143">
        <v>0.53399668325041405</v>
      </c>
      <c r="F143">
        <v>0.525704809286898</v>
      </c>
      <c r="G143">
        <v>0.54063018242122696</v>
      </c>
      <c r="H143">
        <v>0.25043900000000002</v>
      </c>
      <c r="I143">
        <v>0.23883099999999999</v>
      </c>
      <c r="J143">
        <v>0.27780300000000002</v>
      </c>
      <c r="K143">
        <v>31863.7</v>
      </c>
      <c r="L143">
        <v>738.77</v>
      </c>
      <c r="N143">
        <f t="shared" si="6"/>
        <v>0.52866666666666673</v>
      </c>
      <c r="O143">
        <f t="shared" si="7"/>
        <v>0.53344389165284634</v>
      </c>
      <c r="P143">
        <f t="shared" si="8"/>
        <v>0.255691</v>
      </c>
    </row>
    <row r="144" spans="1:16" x14ac:dyDescent="0.3">
      <c r="A144">
        <v>310</v>
      </c>
      <c r="B144">
        <v>0.50700000000000001</v>
      </c>
      <c r="C144">
        <v>0.502</v>
      </c>
      <c r="D144">
        <v>0.51200000000000001</v>
      </c>
      <c r="E144">
        <v>0.52404643449419497</v>
      </c>
      <c r="F144">
        <v>0.52902155887230495</v>
      </c>
      <c r="G144">
        <v>0.54063018242122696</v>
      </c>
      <c r="H144">
        <v>0.26702300000000001</v>
      </c>
      <c r="I144">
        <v>0.26121899999999998</v>
      </c>
      <c r="J144">
        <v>0.29438599999999998</v>
      </c>
      <c r="K144">
        <v>37503.9</v>
      </c>
      <c r="L144">
        <v>481.75</v>
      </c>
      <c r="N144">
        <f t="shared" si="6"/>
        <v>0.50700000000000001</v>
      </c>
      <c r="O144">
        <f t="shared" si="7"/>
        <v>0.53123272526257559</v>
      </c>
      <c r="P144">
        <f t="shared" si="8"/>
        <v>0.2742093333333333</v>
      </c>
    </row>
    <row r="145" spans="1:16" x14ac:dyDescent="0.3">
      <c r="A145">
        <v>315</v>
      </c>
      <c r="B145">
        <v>0.52700000000000002</v>
      </c>
      <c r="C145">
        <v>0.52200000000000002</v>
      </c>
      <c r="D145">
        <v>0.54200000000000004</v>
      </c>
      <c r="E145">
        <v>0.53233830845771102</v>
      </c>
      <c r="F145">
        <v>0.54726368159203898</v>
      </c>
      <c r="G145">
        <v>0.54726368159203898</v>
      </c>
      <c r="H145">
        <v>0.30516599999999999</v>
      </c>
      <c r="I145">
        <v>0.30848300000000001</v>
      </c>
      <c r="J145">
        <v>0.33418700000000001</v>
      </c>
      <c r="K145">
        <v>31767.200000000001</v>
      </c>
      <c r="L145">
        <v>468.97</v>
      </c>
      <c r="N145">
        <f t="shared" si="6"/>
        <v>0.53033333333333332</v>
      </c>
      <c r="O145">
        <f t="shared" si="7"/>
        <v>0.54228855721392966</v>
      </c>
      <c r="P145">
        <f t="shared" si="8"/>
        <v>0.31594533333333336</v>
      </c>
    </row>
    <row r="146" spans="1:16" x14ac:dyDescent="0.3">
      <c r="A146">
        <v>320</v>
      </c>
      <c r="B146">
        <v>0.53700000000000003</v>
      </c>
      <c r="C146">
        <v>0.53700000000000003</v>
      </c>
      <c r="D146">
        <v>0.53200000000000003</v>
      </c>
      <c r="E146">
        <v>0.54311774461028095</v>
      </c>
      <c r="F146">
        <v>0.55223880597014896</v>
      </c>
      <c r="G146">
        <v>0.55306799336650003</v>
      </c>
      <c r="H146">
        <v>0.29024</v>
      </c>
      <c r="I146">
        <v>0.29355700000000001</v>
      </c>
      <c r="J146">
        <v>0.31926199999999999</v>
      </c>
      <c r="K146">
        <v>42319.1</v>
      </c>
      <c r="L146">
        <v>592.47</v>
      </c>
      <c r="N146">
        <f t="shared" si="6"/>
        <v>0.53533333333333333</v>
      </c>
      <c r="O146">
        <f t="shared" si="7"/>
        <v>0.54947484798231006</v>
      </c>
      <c r="P146">
        <f t="shared" si="8"/>
        <v>0.30101966666666669</v>
      </c>
    </row>
    <row r="147" spans="1:16" x14ac:dyDescent="0.3">
      <c r="A147">
        <v>325</v>
      </c>
      <c r="B147">
        <v>0.53200000000000003</v>
      </c>
      <c r="C147">
        <v>0.53700000000000003</v>
      </c>
      <c r="D147">
        <v>0.53700000000000003</v>
      </c>
      <c r="E147">
        <v>0.551409618573797</v>
      </c>
      <c r="F147">
        <v>0.55721393034825795</v>
      </c>
      <c r="G147">
        <v>0.55306799336650003</v>
      </c>
      <c r="H147">
        <v>0.316774</v>
      </c>
      <c r="I147">
        <v>0.30516599999999999</v>
      </c>
      <c r="J147">
        <v>0.32009100000000001</v>
      </c>
      <c r="K147">
        <v>48010.8</v>
      </c>
      <c r="L147">
        <v>586.91</v>
      </c>
      <c r="N147">
        <f t="shared" si="6"/>
        <v>0.53533333333333333</v>
      </c>
      <c r="O147">
        <f t="shared" si="7"/>
        <v>0.55389718076285177</v>
      </c>
      <c r="P147">
        <f t="shared" si="8"/>
        <v>0.31401033333333334</v>
      </c>
    </row>
    <row r="148" spans="1:16" x14ac:dyDescent="0.3">
      <c r="A148">
        <v>330</v>
      </c>
      <c r="B148">
        <v>0.56200000000000006</v>
      </c>
      <c r="C148">
        <v>0.58199999999999996</v>
      </c>
      <c r="D148">
        <v>0.56699999999999995</v>
      </c>
      <c r="E148">
        <v>0.563018242122719</v>
      </c>
      <c r="F148">
        <v>0.58291873963515695</v>
      </c>
      <c r="G148">
        <v>0.56965174129353202</v>
      </c>
      <c r="H148">
        <v>0.40052199999999999</v>
      </c>
      <c r="I148">
        <v>0.38974300000000001</v>
      </c>
      <c r="J148">
        <v>0.398864</v>
      </c>
      <c r="K148">
        <v>34031.199999999997</v>
      </c>
      <c r="L148">
        <v>614.95000000000005</v>
      </c>
      <c r="N148">
        <f t="shared" si="6"/>
        <v>0.57033333333333336</v>
      </c>
      <c r="O148">
        <f t="shared" si="7"/>
        <v>0.57186290768380266</v>
      </c>
      <c r="P148">
        <f t="shared" si="8"/>
        <v>0.39637633333333328</v>
      </c>
    </row>
    <row r="149" spans="1:16" x14ac:dyDescent="0.3">
      <c r="A149">
        <v>335</v>
      </c>
      <c r="B149">
        <v>0.57199999999999995</v>
      </c>
      <c r="C149">
        <v>0.58699999999999997</v>
      </c>
      <c r="D149">
        <v>0.56200000000000006</v>
      </c>
      <c r="E149">
        <v>0.57877280265339903</v>
      </c>
      <c r="F149">
        <v>0.58457711442785998</v>
      </c>
      <c r="G149">
        <v>0.57794361525704796</v>
      </c>
      <c r="H149">
        <v>0.34994199999999998</v>
      </c>
      <c r="I149">
        <v>0.33999200000000002</v>
      </c>
      <c r="J149">
        <v>0.35740499999999997</v>
      </c>
      <c r="K149">
        <v>45315</v>
      </c>
      <c r="L149">
        <v>961.33</v>
      </c>
      <c r="N149">
        <f t="shared" ref="N149:N158" si="9">AVERAGE(B149:D149)</f>
        <v>0.57366666666666666</v>
      </c>
      <c r="O149">
        <f t="shared" ref="O149:O158" si="10">AVERAGE(E149:G149)</f>
        <v>0.58043117744610229</v>
      </c>
      <c r="P149">
        <f t="shared" ref="P149:P158" si="11">AVERAGE(H149:J149)</f>
        <v>0.34911300000000001</v>
      </c>
    </row>
    <row r="150" spans="1:16" x14ac:dyDescent="0.3">
      <c r="A150">
        <v>340</v>
      </c>
      <c r="B150">
        <v>0.56699999999999995</v>
      </c>
      <c r="C150">
        <v>0.58199999999999996</v>
      </c>
      <c r="D150">
        <v>0.57699999999999996</v>
      </c>
      <c r="E150">
        <v>0.588723051409618</v>
      </c>
      <c r="F150">
        <v>0.59784411276948501</v>
      </c>
      <c r="G150">
        <v>0.58623548922056301</v>
      </c>
      <c r="H150">
        <v>0.43037300000000001</v>
      </c>
      <c r="I150">
        <v>0.42788599999999999</v>
      </c>
      <c r="J150">
        <v>0.43120199999999997</v>
      </c>
      <c r="K150">
        <v>48084.9</v>
      </c>
      <c r="L150">
        <v>821.86</v>
      </c>
      <c r="N150">
        <f t="shared" si="9"/>
        <v>0.57533333333333336</v>
      </c>
      <c r="O150">
        <f t="shared" si="10"/>
        <v>0.59093421779988864</v>
      </c>
      <c r="P150">
        <f t="shared" si="11"/>
        <v>0.4298203333333333</v>
      </c>
    </row>
    <row r="151" spans="1:16" x14ac:dyDescent="0.3">
      <c r="A151">
        <v>345</v>
      </c>
      <c r="B151">
        <v>0.58699999999999997</v>
      </c>
      <c r="C151">
        <v>0.58699999999999997</v>
      </c>
      <c r="D151">
        <v>0.58199999999999996</v>
      </c>
      <c r="E151">
        <v>0.60364842454394596</v>
      </c>
      <c r="F151">
        <v>0.60447761194029803</v>
      </c>
      <c r="G151">
        <v>0.60613598673300095</v>
      </c>
      <c r="H151">
        <v>0.36901299999999998</v>
      </c>
      <c r="I151">
        <v>0.36735499999999999</v>
      </c>
      <c r="J151">
        <v>0.37315900000000002</v>
      </c>
      <c r="K151">
        <v>23911.200000000001</v>
      </c>
      <c r="L151">
        <v>834.5</v>
      </c>
      <c r="N151">
        <f t="shared" si="9"/>
        <v>0.58533333333333326</v>
      </c>
      <c r="O151">
        <f t="shared" si="10"/>
        <v>0.60475400773908172</v>
      </c>
      <c r="P151">
        <f t="shared" si="11"/>
        <v>0.36984233333333333</v>
      </c>
    </row>
    <row r="152" spans="1:16" x14ac:dyDescent="0.3">
      <c r="A152">
        <v>350</v>
      </c>
      <c r="B152">
        <v>0.59199999999999997</v>
      </c>
      <c r="C152">
        <v>0.61699999999999999</v>
      </c>
      <c r="D152">
        <v>0.58699999999999997</v>
      </c>
      <c r="E152">
        <v>0.61359867330016504</v>
      </c>
      <c r="F152">
        <v>0.61111111111111105</v>
      </c>
      <c r="G152">
        <v>0.60447761194029803</v>
      </c>
      <c r="H152">
        <v>0.36652600000000002</v>
      </c>
      <c r="I152">
        <v>0.35408800000000001</v>
      </c>
      <c r="J152">
        <v>0.37896400000000002</v>
      </c>
      <c r="K152">
        <v>47377.7</v>
      </c>
      <c r="L152">
        <v>981.31</v>
      </c>
      <c r="N152">
        <f t="shared" si="9"/>
        <v>0.59866666666666668</v>
      </c>
      <c r="O152">
        <f t="shared" si="10"/>
        <v>0.60972913211719149</v>
      </c>
      <c r="P152">
        <f t="shared" si="11"/>
        <v>0.36652600000000007</v>
      </c>
    </row>
    <row r="153" spans="1:16" x14ac:dyDescent="0.3">
      <c r="A153">
        <v>355</v>
      </c>
      <c r="B153">
        <v>0.63200000000000001</v>
      </c>
      <c r="C153">
        <v>0.627</v>
      </c>
      <c r="D153">
        <v>0.622</v>
      </c>
      <c r="E153">
        <v>0.61857379767827503</v>
      </c>
      <c r="F153">
        <v>0.62769485903814204</v>
      </c>
      <c r="G153">
        <v>0.62603648424543901</v>
      </c>
      <c r="H153">
        <v>0.425398</v>
      </c>
      <c r="I153">
        <v>0.41544799999999998</v>
      </c>
      <c r="J153">
        <v>0.42871500000000001</v>
      </c>
      <c r="K153">
        <v>50015.8</v>
      </c>
      <c r="L153">
        <v>336.41</v>
      </c>
      <c r="N153">
        <f t="shared" si="9"/>
        <v>0.62699999999999989</v>
      </c>
      <c r="O153">
        <f t="shared" si="10"/>
        <v>0.62410171365395195</v>
      </c>
      <c r="P153">
        <f t="shared" si="11"/>
        <v>0.42318699999999998</v>
      </c>
    </row>
    <row r="154" spans="1:16" x14ac:dyDescent="0.3">
      <c r="A154">
        <v>360</v>
      </c>
      <c r="B154">
        <v>0.622</v>
      </c>
      <c r="C154">
        <v>0.63200000000000001</v>
      </c>
      <c r="D154">
        <v>0.622</v>
      </c>
      <c r="E154">
        <v>0.62520729684908705</v>
      </c>
      <c r="F154">
        <v>0.63598673300165798</v>
      </c>
      <c r="G154">
        <v>0.616915422885572</v>
      </c>
      <c r="H154">
        <v>0.37398799999999999</v>
      </c>
      <c r="I154">
        <v>0.358234</v>
      </c>
      <c r="J154">
        <v>0.38559700000000002</v>
      </c>
      <c r="K154">
        <v>38471.1</v>
      </c>
      <c r="L154">
        <v>941.5</v>
      </c>
      <c r="N154">
        <f t="shared" si="9"/>
        <v>0.6253333333333333</v>
      </c>
      <c r="O154">
        <f t="shared" si="10"/>
        <v>0.62603648424543901</v>
      </c>
      <c r="P154">
        <f t="shared" si="11"/>
        <v>0.37260633333333332</v>
      </c>
    </row>
    <row r="155" spans="1:16" x14ac:dyDescent="0.3">
      <c r="A155">
        <v>365</v>
      </c>
      <c r="B155">
        <v>0.63700000000000001</v>
      </c>
      <c r="C155">
        <v>0.64700000000000002</v>
      </c>
      <c r="D155">
        <v>0.63700000000000001</v>
      </c>
      <c r="E155">
        <v>0.63930348258706404</v>
      </c>
      <c r="F155">
        <v>0.64344941956882196</v>
      </c>
      <c r="G155">
        <v>0.63432835820895495</v>
      </c>
      <c r="H155">
        <v>0.437836</v>
      </c>
      <c r="I155">
        <v>0.44363999999999998</v>
      </c>
      <c r="J155">
        <v>0.42125200000000002</v>
      </c>
      <c r="K155">
        <v>50086.1</v>
      </c>
      <c r="L155">
        <v>581.72</v>
      </c>
      <c r="N155">
        <f t="shared" si="9"/>
        <v>0.64033333333333331</v>
      </c>
      <c r="O155">
        <f t="shared" si="10"/>
        <v>0.63902708678828024</v>
      </c>
      <c r="P155">
        <f t="shared" si="11"/>
        <v>0.43424266666666661</v>
      </c>
    </row>
    <row r="156" spans="1:16" x14ac:dyDescent="0.3">
      <c r="A156">
        <v>370</v>
      </c>
      <c r="B156">
        <v>0.63700000000000001</v>
      </c>
      <c r="C156">
        <v>0.64700000000000002</v>
      </c>
      <c r="D156">
        <v>0.64200000000000002</v>
      </c>
      <c r="E156">
        <v>0.64344941956882196</v>
      </c>
      <c r="F156">
        <v>0.65257048092868897</v>
      </c>
      <c r="G156">
        <v>0.63764510779436101</v>
      </c>
      <c r="H156">
        <v>0.417935</v>
      </c>
      <c r="I156">
        <v>0.40798499999999999</v>
      </c>
      <c r="J156">
        <v>0.40466800000000003</v>
      </c>
      <c r="K156">
        <v>49106.3</v>
      </c>
      <c r="L156">
        <v>470.59</v>
      </c>
      <c r="N156">
        <f t="shared" si="9"/>
        <v>0.64200000000000002</v>
      </c>
      <c r="O156">
        <f t="shared" si="10"/>
        <v>0.64455500276395739</v>
      </c>
      <c r="P156">
        <f t="shared" si="11"/>
        <v>0.41019600000000001</v>
      </c>
    </row>
    <row r="157" spans="1:16" x14ac:dyDescent="0.3">
      <c r="A157">
        <v>375</v>
      </c>
      <c r="B157">
        <v>0.65700000000000003</v>
      </c>
      <c r="C157">
        <v>0.65700000000000003</v>
      </c>
      <c r="D157">
        <v>0.65700000000000003</v>
      </c>
      <c r="E157">
        <v>0.63930348258706404</v>
      </c>
      <c r="F157">
        <v>0.64842454394693205</v>
      </c>
      <c r="G157">
        <v>0.63930348258706404</v>
      </c>
      <c r="H157">
        <v>0.39803500000000003</v>
      </c>
      <c r="I157">
        <v>0.391401</v>
      </c>
      <c r="J157">
        <v>0.418765</v>
      </c>
      <c r="K157">
        <v>34160.6</v>
      </c>
      <c r="L157">
        <v>854.69</v>
      </c>
      <c r="N157">
        <f t="shared" si="9"/>
        <v>0.65700000000000003</v>
      </c>
      <c r="O157">
        <f t="shared" si="10"/>
        <v>0.64234383637368675</v>
      </c>
      <c r="P157">
        <f t="shared" si="11"/>
        <v>0.40273366666666671</v>
      </c>
    </row>
    <row r="158" spans="1:16" x14ac:dyDescent="0.3">
      <c r="A158">
        <v>380</v>
      </c>
      <c r="B158">
        <v>0.65700000000000003</v>
      </c>
      <c r="C158">
        <v>0.65700000000000003</v>
      </c>
      <c r="D158">
        <v>0.65700000000000003</v>
      </c>
      <c r="E158">
        <v>0.65920398009950198</v>
      </c>
      <c r="F158">
        <v>0.66417910447761197</v>
      </c>
      <c r="G158">
        <v>0.654228855721393</v>
      </c>
      <c r="H158">
        <v>0.41959400000000002</v>
      </c>
      <c r="I158">
        <v>0.44032300000000002</v>
      </c>
      <c r="J158">
        <v>0.43451899999999999</v>
      </c>
      <c r="K158">
        <v>46715.7</v>
      </c>
      <c r="L158">
        <v>737.39</v>
      </c>
      <c r="N158">
        <f t="shared" si="9"/>
        <v>0.65700000000000003</v>
      </c>
      <c r="O158">
        <f t="shared" si="10"/>
        <v>0.65920398009950232</v>
      </c>
      <c r="P158">
        <f t="shared" si="11"/>
        <v>0.43147866666666673</v>
      </c>
    </row>
    <row r="161" spans="1:19" x14ac:dyDescent="0.3">
      <c r="A161" t="s">
        <v>35</v>
      </c>
    </row>
    <row r="162" spans="1:19" x14ac:dyDescent="0.3">
      <c r="C162" t="s">
        <v>6</v>
      </c>
      <c r="F162" t="s">
        <v>7</v>
      </c>
      <c r="I162" t="s">
        <v>8</v>
      </c>
      <c r="O162" t="s">
        <v>83</v>
      </c>
      <c r="R162" t="s">
        <v>84</v>
      </c>
    </row>
    <row r="163" spans="1:19" x14ac:dyDescent="0.3">
      <c r="A163" t="s">
        <v>85</v>
      </c>
      <c r="B163" t="s">
        <v>86</v>
      </c>
      <c r="C163" t="s">
        <v>88</v>
      </c>
      <c r="D163" t="s">
        <v>90</v>
      </c>
      <c r="E163" t="s">
        <v>92</v>
      </c>
      <c r="F163" t="s">
        <v>93</v>
      </c>
      <c r="G163" t="s">
        <v>94</v>
      </c>
      <c r="H163" t="s">
        <v>92</v>
      </c>
      <c r="I163" t="s">
        <v>93</v>
      </c>
      <c r="J163" t="s">
        <v>94</v>
      </c>
      <c r="K163" t="s">
        <v>95</v>
      </c>
      <c r="L163" t="s">
        <v>96</v>
      </c>
      <c r="N163" t="s">
        <v>132</v>
      </c>
      <c r="O163" t="s">
        <v>115</v>
      </c>
      <c r="P163" t="s">
        <v>116</v>
      </c>
      <c r="Q163" t="s">
        <v>6</v>
      </c>
      <c r="R163" t="s">
        <v>7</v>
      </c>
      <c r="S163" t="s">
        <v>8</v>
      </c>
    </row>
    <row r="164" spans="1:19" x14ac:dyDescent="0.3">
      <c r="A164">
        <v>10</v>
      </c>
      <c r="B164">
        <v>1.7000000000000001E-2</v>
      </c>
      <c r="C164">
        <v>1.2999999999999999E-2</v>
      </c>
      <c r="D164">
        <v>1.7000000000000001E-2</v>
      </c>
      <c r="E164">
        <v>9.19158361018826E-2</v>
      </c>
      <c r="F164">
        <v>9.4130675526024304E-2</v>
      </c>
      <c r="G164">
        <v>0.106312292358803</v>
      </c>
      <c r="H164">
        <v>5.1512000000000002E-2</v>
      </c>
      <c r="I164">
        <v>3.6007999999999998E-2</v>
      </c>
      <c r="J164">
        <v>5.3172999999999998E-2</v>
      </c>
      <c r="K164">
        <v>1595.6</v>
      </c>
      <c r="L164">
        <v>72.72</v>
      </c>
      <c r="N164">
        <f t="shared" ref="N164:N195" si="12">AVERAGE(B164:D164)</f>
        <v>1.5666666666666666E-2</v>
      </c>
      <c r="O164">
        <f t="shared" ref="O164:O195" si="13">AVERAGE(E164:G164)</f>
        <v>9.7452934662236645E-2</v>
      </c>
      <c r="P164">
        <f t="shared" ref="P164:P195" si="14">AVERAGE(H164:J164)</f>
        <v>4.6897666666666671E-2</v>
      </c>
      <c r="Q164">
        <f>MIN(N164:N238)</f>
        <v>1.5666666666666666E-2</v>
      </c>
      <c r="R164">
        <f>MIN(O164:O238)</f>
        <v>9.7452934662236645E-2</v>
      </c>
      <c r="S164">
        <f>MIN(P164:P238)</f>
        <v>3.2685666666666668E-2</v>
      </c>
    </row>
    <row r="165" spans="1:19" x14ac:dyDescent="0.3">
      <c r="A165">
        <v>15</v>
      </c>
      <c r="B165">
        <v>2.7E-2</v>
      </c>
      <c r="C165">
        <v>2.7E-2</v>
      </c>
      <c r="D165">
        <v>2.3E-2</v>
      </c>
      <c r="E165">
        <v>0.12735326688814999</v>
      </c>
      <c r="F165">
        <v>9.68992248062015E-2</v>
      </c>
      <c r="G165">
        <v>0.11572535991140601</v>
      </c>
      <c r="H165">
        <v>4.8189000000000003E-2</v>
      </c>
      <c r="I165">
        <v>3.9329999999999997E-2</v>
      </c>
      <c r="J165">
        <v>4.6528E-2</v>
      </c>
      <c r="K165">
        <v>1902.9</v>
      </c>
      <c r="L165">
        <v>88.48</v>
      </c>
      <c r="N165">
        <f t="shared" si="12"/>
        <v>2.5666666666666667E-2</v>
      </c>
      <c r="O165">
        <f t="shared" si="13"/>
        <v>0.1133259505352525</v>
      </c>
      <c r="P165">
        <f t="shared" si="14"/>
        <v>4.4682333333333331E-2</v>
      </c>
      <c r="Q165" t="s">
        <v>131</v>
      </c>
      <c r="R165" t="s">
        <v>131</v>
      </c>
      <c r="S165" t="s">
        <v>133</v>
      </c>
    </row>
    <row r="166" spans="1:19" x14ac:dyDescent="0.3">
      <c r="A166">
        <v>20</v>
      </c>
      <c r="B166">
        <v>0.04</v>
      </c>
      <c r="C166">
        <v>3.3000000000000002E-2</v>
      </c>
      <c r="D166">
        <v>4.7E-2</v>
      </c>
      <c r="E166">
        <v>0.15559246954595701</v>
      </c>
      <c r="F166">
        <v>0.13732004429678801</v>
      </c>
      <c r="G166">
        <v>0.15503875968992201</v>
      </c>
      <c r="H166">
        <v>5.0403999999999997E-2</v>
      </c>
      <c r="I166">
        <v>3.7669000000000001E-2</v>
      </c>
      <c r="J166">
        <v>5.2065E-2</v>
      </c>
      <c r="K166">
        <v>2067.6</v>
      </c>
      <c r="L166">
        <v>87.38</v>
      </c>
      <c r="N166">
        <f t="shared" si="12"/>
        <v>0.04</v>
      </c>
      <c r="O166">
        <f t="shared" si="13"/>
        <v>0.14931709117755568</v>
      </c>
      <c r="P166">
        <f t="shared" si="14"/>
        <v>4.6712666666666659E-2</v>
      </c>
    </row>
    <row r="167" spans="1:19" x14ac:dyDescent="0.3">
      <c r="A167">
        <v>25</v>
      </c>
      <c r="B167">
        <v>3.6999999999999998E-2</v>
      </c>
      <c r="C167">
        <v>2.7E-2</v>
      </c>
      <c r="D167">
        <v>3.6999999999999998E-2</v>
      </c>
      <c r="E167">
        <v>0.17995570321151699</v>
      </c>
      <c r="F167">
        <v>0.13289036544850499</v>
      </c>
      <c r="G167">
        <v>0.186046511627906</v>
      </c>
      <c r="H167">
        <v>4.0991E-2</v>
      </c>
      <c r="I167">
        <v>3.3238999999999998E-2</v>
      </c>
      <c r="J167">
        <v>4.5421000000000003E-2</v>
      </c>
      <c r="K167">
        <v>2226</v>
      </c>
      <c r="L167">
        <v>101.81</v>
      </c>
      <c r="N167">
        <f t="shared" si="12"/>
        <v>3.3666666666666671E-2</v>
      </c>
      <c r="O167">
        <f t="shared" si="13"/>
        <v>0.16629752676264264</v>
      </c>
      <c r="P167">
        <f t="shared" si="14"/>
        <v>3.9883666666666664E-2</v>
      </c>
    </row>
    <row r="168" spans="1:19" x14ac:dyDescent="0.3">
      <c r="A168">
        <v>30</v>
      </c>
      <c r="B168">
        <v>4.2999999999999997E-2</v>
      </c>
      <c r="C168">
        <v>2.7E-2</v>
      </c>
      <c r="D168">
        <v>4.7E-2</v>
      </c>
      <c r="E168">
        <v>0.20265780730897001</v>
      </c>
      <c r="F168">
        <v>0.18438538205980001</v>
      </c>
      <c r="G168">
        <v>0.21040974529346601</v>
      </c>
      <c r="H168">
        <v>5.5388E-2</v>
      </c>
      <c r="I168">
        <v>3.7115000000000002E-2</v>
      </c>
      <c r="J168">
        <v>5.4834000000000001E-2</v>
      </c>
      <c r="K168">
        <v>2370.4</v>
      </c>
      <c r="L168">
        <v>100.11</v>
      </c>
      <c r="N168">
        <f t="shared" si="12"/>
        <v>3.9E-2</v>
      </c>
      <c r="O168">
        <f t="shared" si="13"/>
        <v>0.19915097822074534</v>
      </c>
      <c r="P168">
        <f t="shared" si="14"/>
        <v>4.9112333333333334E-2</v>
      </c>
    </row>
    <row r="169" spans="1:19" x14ac:dyDescent="0.3">
      <c r="A169">
        <v>35</v>
      </c>
      <c r="B169">
        <v>6.3E-2</v>
      </c>
      <c r="C169">
        <v>0.04</v>
      </c>
      <c r="D169">
        <v>6.6000000000000003E-2</v>
      </c>
      <c r="E169">
        <v>0.20542635658914701</v>
      </c>
      <c r="F169">
        <v>0.135658914728682</v>
      </c>
      <c r="G169">
        <v>0.18936877076411901</v>
      </c>
      <c r="H169">
        <v>4.5975000000000002E-2</v>
      </c>
      <c r="I169">
        <v>3.8223E-2</v>
      </c>
      <c r="J169">
        <v>4.4866999999999997E-2</v>
      </c>
      <c r="K169">
        <v>3545.2</v>
      </c>
      <c r="L169">
        <v>105.58</v>
      </c>
      <c r="N169">
        <f t="shared" si="12"/>
        <v>5.6333333333333339E-2</v>
      </c>
      <c r="O169">
        <f t="shared" si="13"/>
        <v>0.17681801402731601</v>
      </c>
      <c r="P169">
        <f t="shared" si="14"/>
        <v>4.3021666666666659E-2</v>
      </c>
    </row>
    <row r="170" spans="1:19" x14ac:dyDescent="0.3">
      <c r="A170">
        <v>40</v>
      </c>
      <c r="B170">
        <v>7.5999999999999998E-2</v>
      </c>
      <c r="C170">
        <v>4.7E-2</v>
      </c>
      <c r="D170">
        <v>7.2999999999999995E-2</v>
      </c>
      <c r="E170">
        <v>0.146179401993355</v>
      </c>
      <c r="F170">
        <v>0.196013289036544</v>
      </c>
      <c r="G170">
        <v>0.20487264673311101</v>
      </c>
      <c r="H170">
        <v>5.1512000000000002E-2</v>
      </c>
      <c r="I170">
        <v>3.7669000000000001E-2</v>
      </c>
      <c r="J170">
        <v>5.3726000000000003E-2</v>
      </c>
      <c r="K170">
        <v>5647.3</v>
      </c>
      <c r="L170">
        <v>140.47</v>
      </c>
      <c r="N170">
        <f t="shared" si="12"/>
        <v>6.533333333333334E-2</v>
      </c>
      <c r="O170">
        <f t="shared" si="13"/>
        <v>0.18235511258767001</v>
      </c>
      <c r="P170">
        <f t="shared" si="14"/>
        <v>4.7635666666666666E-2</v>
      </c>
    </row>
    <row r="171" spans="1:19" x14ac:dyDescent="0.3">
      <c r="A171">
        <v>45</v>
      </c>
      <c r="B171">
        <v>4.2999999999999997E-2</v>
      </c>
      <c r="C171">
        <v>2.3E-2</v>
      </c>
      <c r="D171">
        <v>4.2999999999999997E-2</v>
      </c>
      <c r="E171">
        <v>0.17663344407530401</v>
      </c>
      <c r="F171">
        <v>0.174972314507198</v>
      </c>
      <c r="G171">
        <v>0.22148394241417399</v>
      </c>
      <c r="H171">
        <v>5.5940999999999998E-2</v>
      </c>
      <c r="I171">
        <v>3.8775999999999998E-2</v>
      </c>
      <c r="J171">
        <v>5.3172999999999998E-2</v>
      </c>
      <c r="K171">
        <v>8009.2</v>
      </c>
      <c r="L171">
        <v>153.80000000000001</v>
      </c>
      <c r="N171">
        <f t="shared" si="12"/>
        <v>3.6333333333333336E-2</v>
      </c>
      <c r="O171">
        <f t="shared" si="13"/>
        <v>0.19102990033222533</v>
      </c>
      <c r="P171">
        <f t="shared" si="14"/>
        <v>4.9296666666666662E-2</v>
      </c>
    </row>
    <row r="172" spans="1:19" x14ac:dyDescent="0.3">
      <c r="A172">
        <v>50</v>
      </c>
      <c r="B172">
        <v>4.2999999999999997E-2</v>
      </c>
      <c r="C172">
        <v>2.3E-2</v>
      </c>
      <c r="D172">
        <v>0.04</v>
      </c>
      <c r="E172">
        <v>0.162236987818383</v>
      </c>
      <c r="F172">
        <v>0.167774086378737</v>
      </c>
      <c r="G172">
        <v>0.19822812846068599</v>
      </c>
      <c r="H172">
        <v>5.4280000000000002E-2</v>
      </c>
      <c r="I172">
        <v>3.9884000000000003E-2</v>
      </c>
      <c r="J172">
        <v>5.4280000000000002E-2</v>
      </c>
      <c r="K172">
        <v>10619</v>
      </c>
      <c r="L172">
        <v>179.98</v>
      </c>
      <c r="N172">
        <f t="shared" si="12"/>
        <v>3.5333333333333335E-2</v>
      </c>
      <c r="O172">
        <f t="shared" si="13"/>
        <v>0.17607973421926867</v>
      </c>
      <c r="P172">
        <f t="shared" si="14"/>
        <v>4.9481333333333329E-2</v>
      </c>
    </row>
    <row r="173" spans="1:19" x14ac:dyDescent="0.3">
      <c r="A173">
        <v>55</v>
      </c>
      <c r="B173">
        <v>4.2999999999999997E-2</v>
      </c>
      <c r="C173">
        <v>0.03</v>
      </c>
      <c r="D173">
        <v>0.04</v>
      </c>
      <c r="E173">
        <v>0.20487264673311101</v>
      </c>
      <c r="F173">
        <v>0.16334440753045401</v>
      </c>
      <c r="G173">
        <v>0.20487264673311101</v>
      </c>
      <c r="H173">
        <v>4.4866999999999997E-2</v>
      </c>
      <c r="I173">
        <v>3.2132000000000001E-2</v>
      </c>
      <c r="J173">
        <v>4.6528E-2</v>
      </c>
      <c r="K173">
        <v>13466.5</v>
      </c>
      <c r="L173">
        <v>182.83</v>
      </c>
      <c r="N173">
        <f t="shared" si="12"/>
        <v>3.7666666666666661E-2</v>
      </c>
      <c r="O173">
        <f t="shared" si="13"/>
        <v>0.19102990033222533</v>
      </c>
      <c r="P173">
        <f t="shared" si="14"/>
        <v>4.1175666666666666E-2</v>
      </c>
    </row>
    <row r="174" spans="1:19" x14ac:dyDescent="0.3">
      <c r="A174">
        <v>60</v>
      </c>
      <c r="B174">
        <v>0.04</v>
      </c>
      <c r="C174">
        <v>2.7E-2</v>
      </c>
      <c r="D174">
        <v>3.3000000000000002E-2</v>
      </c>
      <c r="E174">
        <v>0.181063122923588</v>
      </c>
      <c r="F174">
        <v>0.207087486157253</v>
      </c>
      <c r="G174">
        <v>0.181063122923588</v>
      </c>
      <c r="H174">
        <v>5.2065E-2</v>
      </c>
      <c r="I174">
        <v>3.8775999999999998E-2</v>
      </c>
      <c r="J174">
        <v>5.0958000000000003E-2</v>
      </c>
      <c r="K174">
        <v>16516.3</v>
      </c>
      <c r="L174">
        <v>147.94999999999999</v>
      </c>
      <c r="N174">
        <f t="shared" si="12"/>
        <v>3.3333333333333333E-2</v>
      </c>
      <c r="O174">
        <f t="shared" si="13"/>
        <v>0.18973791066814302</v>
      </c>
      <c r="P174">
        <f t="shared" si="14"/>
        <v>4.7266333333333334E-2</v>
      </c>
    </row>
    <row r="175" spans="1:19" x14ac:dyDescent="0.3">
      <c r="A175">
        <v>65</v>
      </c>
      <c r="B175">
        <v>3.6999999999999998E-2</v>
      </c>
      <c r="C175">
        <v>2.3E-2</v>
      </c>
      <c r="D175">
        <v>3.3000000000000002E-2</v>
      </c>
      <c r="E175">
        <v>0.225359911406423</v>
      </c>
      <c r="F175">
        <v>0.14230343300110701</v>
      </c>
      <c r="G175">
        <v>0.21040974529346601</v>
      </c>
      <c r="H175">
        <v>4.7081999999999999E-2</v>
      </c>
      <c r="I175">
        <v>3.5453999999999999E-2</v>
      </c>
      <c r="J175">
        <v>5.0958000000000003E-2</v>
      </c>
      <c r="K175">
        <v>19927.2</v>
      </c>
      <c r="L175">
        <v>178.03</v>
      </c>
      <c r="N175">
        <f t="shared" si="12"/>
        <v>3.1E-2</v>
      </c>
      <c r="O175">
        <f t="shared" si="13"/>
        <v>0.19269102990033202</v>
      </c>
      <c r="P175">
        <f t="shared" si="14"/>
        <v>4.4498000000000003E-2</v>
      </c>
    </row>
    <row r="176" spans="1:19" x14ac:dyDescent="0.3">
      <c r="A176">
        <v>70</v>
      </c>
      <c r="B176">
        <v>3.6999999999999998E-2</v>
      </c>
      <c r="C176">
        <v>0.02</v>
      </c>
      <c r="D176">
        <v>3.3000000000000002E-2</v>
      </c>
      <c r="E176">
        <v>0.19545957918050899</v>
      </c>
      <c r="F176">
        <v>0.19656699889258</v>
      </c>
      <c r="G176">
        <v>0.21871539313399699</v>
      </c>
      <c r="H176">
        <v>5.1512000000000002E-2</v>
      </c>
      <c r="I176">
        <v>3.5453999999999999E-2</v>
      </c>
      <c r="J176">
        <v>5.2065E-2</v>
      </c>
      <c r="K176">
        <v>23584.3</v>
      </c>
      <c r="L176">
        <v>166.67</v>
      </c>
      <c r="N176">
        <f t="shared" si="12"/>
        <v>0.03</v>
      </c>
      <c r="O176">
        <f t="shared" si="13"/>
        <v>0.20358065706902864</v>
      </c>
      <c r="P176">
        <f t="shared" si="14"/>
        <v>4.6343666666666672E-2</v>
      </c>
    </row>
    <row r="177" spans="1:16" x14ac:dyDescent="0.3">
      <c r="A177">
        <v>75</v>
      </c>
      <c r="B177">
        <v>3.3000000000000002E-2</v>
      </c>
      <c r="C177">
        <v>0.02</v>
      </c>
      <c r="D177">
        <v>0.03</v>
      </c>
      <c r="E177">
        <v>0.21816168327796201</v>
      </c>
      <c r="F177">
        <v>0.19767441860465099</v>
      </c>
      <c r="G177">
        <v>0.196013289036544</v>
      </c>
      <c r="H177">
        <v>4.3206000000000001E-2</v>
      </c>
      <c r="I177">
        <v>2.9916999999999999E-2</v>
      </c>
      <c r="J177">
        <v>4.2652000000000002E-2</v>
      </c>
      <c r="K177">
        <v>27584.2</v>
      </c>
      <c r="L177">
        <v>230.47</v>
      </c>
      <c r="N177">
        <f t="shared" si="12"/>
        <v>2.7666666666666669E-2</v>
      </c>
      <c r="O177">
        <f t="shared" si="13"/>
        <v>0.20394979697305235</v>
      </c>
      <c r="P177">
        <f t="shared" si="14"/>
        <v>3.8591666666666663E-2</v>
      </c>
    </row>
    <row r="178" spans="1:16" x14ac:dyDescent="0.3">
      <c r="A178">
        <v>80</v>
      </c>
      <c r="B178">
        <v>3.6999999999999998E-2</v>
      </c>
      <c r="C178">
        <v>1.7000000000000001E-2</v>
      </c>
      <c r="D178">
        <v>0.03</v>
      </c>
      <c r="E178">
        <v>0.19712070874861501</v>
      </c>
      <c r="F178">
        <v>0.181063122923588</v>
      </c>
      <c r="G178">
        <v>0.21926910299003299</v>
      </c>
      <c r="H178">
        <v>4.9849999999999998E-2</v>
      </c>
      <c r="I178">
        <v>3.7115000000000002E-2</v>
      </c>
      <c r="J178">
        <v>4.8743000000000002E-2</v>
      </c>
      <c r="K178">
        <v>31690.6</v>
      </c>
      <c r="L178">
        <v>136.94999999999999</v>
      </c>
      <c r="N178">
        <f t="shared" si="12"/>
        <v>2.7999999999999997E-2</v>
      </c>
      <c r="O178">
        <f t="shared" si="13"/>
        <v>0.19915097822074534</v>
      </c>
      <c r="P178">
        <f t="shared" si="14"/>
        <v>4.5235999999999998E-2</v>
      </c>
    </row>
    <row r="179" spans="1:16" x14ac:dyDescent="0.3">
      <c r="A179">
        <v>85</v>
      </c>
      <c r="B179">
        <v>3.6999999999999998E-2</v>
      </c>
      <c r="C179">
        <v>1.7000000000000001E-2</v>
      </c>
      <c r="D179">
        <v>0.03</v>
      </c>
      <c r="E179">
        <v>0.18161683277962301</v>
      </c>
      <c r="F179">
        <v>0.14839424141749699</v>
      </c>
      <c r="G179">
        <v>0.19435215946843801</v>
      </c>
      <c r="H179">
        <v>4.376E-2</v>
      </c>
      <c r="I179">
        <v>2.7147999999999999E-2</v>
      </c>
      <c r="J179">
        <v>4.3206000000000001E-2</v>
      </c>
      <c r="K179">
        <v>36133</v>
      </c>
      <c r="L179">
        <v>183.56</v>
      </c>
      <c r="N179">
        <f t="shared" si="12"/>
        <v>2.7999999999999997E-2</v>
      </c>
      <c r="O179">
        <f t="shared" si="13"/>
        <v>0.174787744555186</v>
      </c>
      <c r="P179">
        <f t="shared" si="14"/>
        <v>3.8037999999999995E-2</v>
      </c>
    </row>
    <row r="180" spans="1:16" x14ac:dyDescent="0.3">
      <c r="A180">
        <v>90</v>
      </c>
      <c r="B180">
        <v>3.3000000000000002E-2</v>
      </c>
      <c r="C180">
        <v>1.7000000000000001E-2</v>
      </c>
      <c r="D180">
        <v>0.03</v>
      </c>
      <c r="E180">
        <v>0.15060908084163799</v>
      </c>
      <c r="F180">
        <v>0.188815060908084</v>
      </c>
      <c r="G180">
        <v>0.21040974529346601</v>
      </c>
      <c r="H180">
        <v>4.4312999999999998E-2</v>
      </c>
      <c r="I180">
        <v>2.9916999999999999E-2</v>
      </c>
      <c r="J180">
        <v>4.3206000000000001E-2</v>
      </c>
      <c r="K180">
        <v>36917.599999999999</v>
      </c>
      <c r="L180">
        <v>214.38</v>
      </c>
      <c r="N180">
        <f t="shared" si="12"/>
        <v>2.6666666666666668E-2</v>
      </c>
      <c r="O180">
        <f t="shared" si="13"/>
        <v>0.18327796234772933</v>
      </c>
      <c r="P180">
        <f t="shared" si="14"/>
        <v>3.9145333333333331E-2</v>
      </c>
    </row>
    <row r="181" spans="1:16" x14ac:dyDescent="0.3">
      <c r="A181">
        <v>95</v>
      </c>
      <c r="B181">
        <v>0.04</v>
      </c>
      <c r="C181">
        <v>2.3E-2</v>
      </c>
      <c r="D181">
        <v>3.6999999999999998E-2</v>
      </c>
      <c r="E181">
        <v>0.19158361018826101</v>
      </c>
      <c r="F181">
        <v>0.18770764119601299</v>
      </c>
      <c r="G181">
        <v>0.209302325581395</v>
      </c>
      <c r="H181">
        <v>4.5975000000000002E-2</v>
      </c>
      <c r="I181">
        <v>3.1578000000000002E-2</v>
      </c>
      <c r="J181">
        <v>4.7081999999999999E-2</v>
      </c>
      <c r="K181">
        <v>9718.2000000000007</v>
      </c>
      <c r="L181">
        <v>185.25</v>
      </c>
      <c r="N181">
        <f t="shared" si="12"/>
        <v>3.3333333333333333E-2</v>
      </c>
      <c r="O181">
        <f t="shared" si="13"/>
        <v>0.19619785898855632</v>
      </c>
      <c r="P181">
        <f t="shared" si="14"/>
        <v>4.1545000000000006E-2</v>
      </c>
    </row>
    <row r="182" spans="1:16" x14ac:dyDescent="0.3">
      <c r="A182">
        <v>100</v>
      </c>
      <c r="B182">
        <v>3.6999999999999998E-2</v>
      </c>
      <c r="C182">
        <v>2.3E-2</v>
      </c>
      <c r="D182">
        <v>3.3000000000000002E-2</v>
      </c>
      <c r="E182">
        <v>0.17663344407530401</v>
      </c>
      <c r="F182">
        <v>0.175526024363233</v>
      </c>
      <c r="G182">
        <v>0.212070874861572</v>
      </c>
      <c r="H182">
        <v>3.49E-2</v>
      </c>
      <c r="I182">
        <v>2.9916999999999999E-2</v>
      </c>
      <c r="J182">
        <v>3.7115000000000002E-2</v>
      </c>
      <c r="K182">
        <v>14575.9</v>
      </c>
      <c r="L182">
        <v>227.91</v>
      </c>
      <c r="N182">
        <f t="shared" si="12"/>
        <v>3.1E-2</v>
      </c>
      <c r="O182">
        <f t="shared" si="13"/>
        <v>0.18807678110003634</v>
      </c>
      <c r="P182">
        <f t="shared" si="14"/>
        <v>3.3977333333333332E-2</v>
      </c>
    </row>
    <row r="183" spans="1:16" x14ac:dyDescent="0.3">
      <c r="A183">
        <v>105</v>
      </c>
      <c r="B183">
        <v>0.04</v>
      </c>
      <c r="C183">
        <v>2.3E-2</v>
      </c>
      <c r="D183">
        <v>0.04</v>
      </c>
      <c r="E183">
        <v>0.18383167220376501</v>
      </c>
      <c r="F183">
        <v>0.20985603543743001</v>
      </c>
      <c r="G183">
        <v>0.183277962347729</v>
      </c>
      <c r="H183">
        <v>4.4866999999999997E-2</v>
      </c>
      <c r="I183">
        <v>3.0471000000000002E-2</v>
      </c>
      <c r="J183">
        <v>4.2652000000000002E-2</v>
      </c>
      <c r="K183">
        <v>19879.599999999999</v>
      </c>
      <c r="L183">
        <v>226.02</v>
      </c>
      <c r="N183">
        <f t="shared" si="12"/>
        <v>3.4333333333333334E-2</v>
      </c>
      <c r="O183">
        <f t="shared" si="13"/>
        <v>0.19232188999630798</v>
      </c>
      <c r="P183">
        <f t="shared" si="14"/>
        <v>3.9330000000000004E-2</v>
      </c>
    </row>
    <row r="184" spans="1:16" x14ac:dyDescent="0.3">
      <c r="A184">
        <v>110</v>
      </c>
      <c r="B184">
        <v>0.03</v>
      </c>
      <c r="C184">
        <v>1.7000000000000001E-2</v>
      </c>
      <c r="D184">
        <v>2.7E-2</v>
      </c>
      <c r="E184">
        <v>0.19435215946843801</v>
      </c>
      <c r="F184">
        <v>0.18161683277962301</v>
      </c>
      <c r="G184">
        <v>0.18992248062015499</v>
      </c>
      <c r="H184">
        <v>4.2098999999999998E-2</v>
      </c>
      <c r="I184">
        <v>3.4347000000000003E-2</v>
      </c>
      <c r="J184">
        <v>4.4866999999999997E-2</v>
      </c>
      <c r="K184">
        <v>25321.5</v>
      </c>
      <c r="L184">
        <v>288.16000000000003</v>
      </c>
      <c r="N184">
        <f t="shared" si="12"/>
        <v>2.4666666666666667E-2</v>
      </c>
      <c r="O184">
        <f t="shared" si="13"/>
        <v>0.18863049095607201</v>
      </c>
      <c r="P184">
        <f t="shared" si="14"/>
        <v>4.043766666666667E-2</v>
      </c>
    </row>
    <row r="185" spans="1:16" x14ac:dyDescent="0.3">
      <c r="A185">
        <v>115</v>
      </c>
      <c r="B185">
        <v>3.3000000000000002E-2</v>
      </c>
      <c r="C185">
        <v>0.02</v>
      </c>
      <c r="D185">
        <v>3.3000000000000002E-2</v>
      </c>
      <c r="E185">
        <v>0.21373200442967799</v>
      </c>
      <c r="F185">
        <v>0.18161683277962301</v>
      </c>
      <c r="G185">
        <v>0.20874861572535899</v>
      </c>
      <c r="H185">
        <v>3.6007999999999998E-2</v>
      </c>
      <c r="I185">
        <v>2.4934000000000001E-2</v>
      </c>
      <c r="J185">
        <v>3.7115000000000002E-2</v>
      </c>
      <c r="K185">
        <v>29531.599999999999</v>
      </c>
      <c r="L185">
        <v>506.23</v>
      </c>
      <c r="N185">
        <f t="shared" si="12"/>
        <v>2.866666666666667E-2</v>
      </c>
      <c r="O185">
        <f t="shared" si="13"/>
        <v>0.20136581764488667</v>
      </c>
      <c r="P185">
        <f t="shared" si="14"/>
        <v>3.2685666666666668E-2</v>
      </c>
    </row>
    <row r="186" spans="1:16" x14ac:dyDescent="0.3">
      <c r="A186">
        <v>120</v>
      </c>
      <c r="B186">
        <v>3.6999999999999998E-2</v>
      </c>
      <c r="C186">
        <v>2.3E-2</v>
      </c>
      <c r="D186">
        <v>3.6999999999999998E-2</v>
      </c>
      <c r="E186">
        <v>0.19158361018826101</v>
      </c>
      <c r="F186">
        <v>0.20598006644518199</v>
      </c>
      <c r="G186">
        <v>0.19822812846068599</v>
      </c>
      <c r="H186">
        <v>4.0437000000000001E-2</v>
      </c>
      <c r="I186">
        <v>2.8809999999999999E-2</v>
      </c>
      <c r="J186">
        <v>3.6561000000000003E-2</v>
      </c>
      <c r="K186">
        <v>35348.1</v>
      </c>
      <c r="L186">
        <v>369.16</v>
      </c>
      <c r="N186">
        <f t="shared" si="12"/>
        <v>3.2333333333333332E-2</v>
      </c>
      <c r="O186">
        <f t="shared" si="13"/>
        <v>0.19859726836470967</v>
      </c>
      <c r="P186">
        <f t="shared" si="14"/>
        <v>3.526933333333334E-2</v>
      </c>
    </row>
    <row r="187" spans="1:16" x14ac:dyDescent="0.3">
      <c r="A187">
        <v>125</v>
      </c>
      <c r="B187">
        <v>3.6999999999999998E-2</v>
      </c>
      <c r="C187">
        <v>0.02</v>
      </c>
      <c r="D187">
        <v>3.3000000000000002E-2</v>
      </c>
      <c r="E187">
        <v>0.191029900332225</v>
      </c>
      <c r="F187">
        <v>0.16112956810631199</v>
      </c>
      <c r="G187">
        <v>0.20099667774086299</v>
      </c>
      <c r="H187">
        <v>4.2098999999999998E-2</v>
      </c>
      <c r="I187">
        <v>3.49E-2</v>
      </c>
      <c r="J187">
        <v>4.3206000000000001E-2</v>
      </c>
      <c r="K187">
        <v>36680.300000000003</v>
      </c>
      <c r="L187">
        <v>295.69</v>
      </c>
      <c r="N187">
        <f t="shared" si="12"/>
        <v>0.03</v>
      </c>
      <c r="O187">
        <f t="shared" si="13"/>
        <v>0.18438538205979996</v>
      </c>
      <c r="P187">
        <f t="shared" si="14"/>
        <v>4.0068333333333338E-2</v>
      </c>
    </row>
    <row r="188" spans="1:16" x14ac:dyDescent="0.3">
      <c r="A188">
        <v>130</v>
      </c>
      <c r="B188">
        <v>3.6999999999999998E-2</v>
      </c>
      <c r="C188">
        <v>0.02</v>
      </c>
      <c r="D188">
        <v>3.6999999999999998E-2</v>
      </c>
      <c r="E188">
        <v>0.20044296788482799</v>
      </c>
      <c r="F188">
        <v>0.17663344407530401</v>
      </c>
      <c r="G188">
        <v>0.18936877076411901</v>
      </c>
      <c r="H188">
        <v>4.6528E-2</v>
      </c>
      <c r="I188">
        <v>3.1578000000000002E-2</v>
      </c>
      <c r="J188">
        <v>4.2098999999999998E-2</v>
      </c>
      <c r="K188">
        <v>13360.3</v>
      </c>
      <c r="L188">
        <v>399.11</v>
      </c>
      <c r="N188">
        <f t="shared" si="12"/>
        <v>3.1333333333333331E-2</v>
      </c>
      <c r="O188">
        <f t="shared" si="13"/>
        <v>0.18881506090808364</v>
      </c>
      <c r="P188">
        <f t="shared" si="14"/>
        <v>4.0068333333333338E-2</v>
      </c>
    </row>
    <row r="189" spans="1:16" x14ac:dyDescent="0.3">
      <c r="A189">
        <v>135</v>
      </c>
      <c r="B189">
        <v>4.2999999999999997E-2</v>
      </c>
      <c r="C189">
        <v>2.3E-2</v>
      </c>
      <c r="D189">
        <v>3.6999999999999998E-2</v>
      </c>
      <c r="E189">
        <v>0.18438538205980001</v>
      </c>
      <c r="F189">
        <v>0.19490586932447301</v>
      </c>
      <c r="G189">
        <v>0.19767441860465099</v>
      </c>
      <c r="H189">
        <v>4.4312999999999998E-2</v>
      </c>
      <c r="I189">
        <v>3.6561000000000003E-2</v>
      </c>
      <c r="J189">
        <v>4.4312999999999998E-2</v>
      </c>
      <c r="K189">
        <v>20074.8</v>
      </c>
      <c r="L189">
        <v>420.05</v>
      </c>
      <c r="N189">
        <f t="shared" si="12"/>
        <v>3.4333333333333334E-2</v>
      </c>
      <c r="O189">
        <f t="shared" si="13"/>
        <v>0.19232188999630798</v>
      </c>
      <c r="P189">
        <f t="shared" si="14"/>
        <v>4.1728999999999995E-2</v>
      </c>
    </row>
    <row r="190" spans="1:16" x14ac:dyDescent="0.3">
      <c r="A190">
        <v>140</v>
      </c>
      <c r="B190">
        <v>4.7E-2</v>
      </c>
      <c r="C190">
        <v>3.3000000000000002E-2</v>
      </c>
      <c r="D190">
        <v>4.7E-2</v>
      </c>
      <c r="E190">
        <v>0.17663344407530401</v>
      </c>
      <c r="F190">
        <v>0.18770764119601299</v>
      </c>
      <c r="G190">
        <v>0.191029900332225</v>
      </c>
      <c r="H190">
        <v>4.2098999999999998E-2</v>
      </c>
      <c r="I190">
        <v>3.0471000000000002E-2</v>
      </c>
      <c r="J190">
        <v>4.2098999999999998E-2</v>
      </c>
      <c r="K190">
        <v>27062.7</v>
      </c>
      <c r="L190">
        <v>430.44</v>
      </c>
      <c r="N190">
        <f t="shared" si="12"/>
        <v>4.2333333333333334E-2</v>
      </c>
      <c r="O190">
        <f t="shared" si="13"/>
        <v>0.18512366186784734</v>
      </c>
      <c r="P190">
        <f t="shared" si="14"/>
        <v>3.8223E-2</v>
      </c>
    </row>
    <row r="191" spans="1:16" x14ac:dyDescent="0.3">
      <c r="A191">
        <v>145</v>
      </c>
      <c r="B191">
        <v>5.2999999999999999E-2</v>
      </c>
      <c r="C191">
        <v>3.6999999999999998E-2</v>
      </c>
      <c r="D191">
        <v>0.05</v>
      </c>
      <c r="E191">
        <v>0.19490586932447301</v>
      </c>
      <c r="F191">
        <v>0.19545957918050899</v>
      </c>
      <c r="G191">
        <v>0.198781838316722</v>
      </c>
      <c r="H191">
        <v>4.8743000000000002E-2</v>
      </c>
      <c r="I191">
        <v>3.9884000000000003E-2</v>
      </c>
      <c r="J191">
        <v>4.9849999999999998E-2</v>
      </c>
      <c r="K191">
        <v>34408</v>
      </c>
      <c r="L191">
        <v>337.94</v>
      </c>
      <c r="N191">
        <f t="shared" si="12"/>
        <v>4.6666666666666669E-2</v>
      </c>
      <c r="O191">
        <f t="shared" si="13"/>
        <v>0.19638242894056801</v>
      </c>
      <c r="P191">
        <f t="shared" si="14"/>
        <v>4.6159000000000006E-2</v>
      </c>
    </row>
    <row r="192" spans="1:16" x14ac:dyDescent="0.3">
      <c r="A192">
        <v>150</v>
      </c>
      <c r="B192">
        <v>5.2999999999999999E-2</v>
      </c>
      <c r="C192">
        <v>4.2999999999999997E-2</v>
      </c>
      <c r="D192">
        <v>5.2999999999999999E-2</v>
      </c>
      <c r="E192">
        <v>0.18660022148394201</v>
      </c>
      <c r="F192">
        <v>0.17884828349944601</v>
      </c>
      <c r="G192">
        <v>0.186046511627906</v>
      </c>
      <c r="H192">
        <v>4.7635999999999998E-2</v>
      </c>
      <c r="I192">
        <v>3.9329999999999997E-2</v>
      </c>
      <c r="J192">
        <v>4.9297000000000001E-2</v>
      </c>
      <c r="K192">
        <v>38684.9</v>
      </c>
      <c r="L192">
        <v>373.97</v>
      </c>
      <c r="N192">
        <f t="shared" si="12"/>
        <v>4.9666666666666665E-2</v>
      </c>
      <c r="O192">
        <f t="shared" si="13"/>
        <v>0.18383167220376465</v>
      </c>
      <c r="P192">
        <f t="shared" si="14"/>
        <v>4.5420999999999996E-2</v>
      </c>
    </row>
    <row r="193" spans="1:16" x14ac:dyDescent="0.3">
      <c r="A193">
        <v>155</v>
      </c>
      <c r="B193">
        <v>0.06</v>
      </c>
      <c r="C193">
        <v>4.2999999999999997E-2</v>
      </c>
      <c r="D193">
        <v>0.06</v>
      </c>
      <c r="E193">
        <v>0.19158361018826101</v>
      </c>
      <c r="F193">
        <v>0.181063122923588</v>
      </c>
      <c r="G193">
        <v>0.193244739756367</v>
      </c>
      <c r="H193">
        <v>5.0403999999999997E-2</v>
      </c>
      <c r="I193">
        <v>3.6007999999999998E-2</v>
      </c>
      <c r="J193">
        <v>4.9849999999999998E-2</v>
      </c>
      <c r="K193">
        <v>17807.3</v>
      </c>
      <c r="L193">
        <v>443.59</v>
      </c>
      <c r="N193">
        <f t="shared" si="12"/>
        <v>5.4333333333333324E-2</v>
      </c>
      <c r="O193">
        <f t="shared" si="13"/>
        <v>0.18863049095607201</v>
      </c>
      <c r="P193">
        <f t="shared" si="14"/>
        <v>4.5420666666666665E-2</v>
      </c>
    </row>
    <row r="194" spans="1:16" x14ac:dyDescent="0.3">
      <c r="A194">
        <v>160</v>
      </c>
      <c r="B194">
        <v>5.2999999999999999E-2</v>
      </c>
      <c r="C194">
        <v>0.04</v>
      </c>
      <c r="D194">
        <v>4.7E-2</v>
      </c>
      <c r="E194">
        <v>0.19490586932447301</v>
      </c>
      <c r="F194">
        <v>0.18992248062015499</v>
      </c>
      <c r="G194">
        <v>0.18493909191583599</v>
      </c>
      <c r="H194">
        <v>4.376E-2</v>
      </c>
      <c r="I194">
        <v>3.8223E-2</v>
      </c>
      <c r="J194">
        <v>4.2098999999999998E-2</v>
      </c>
      <c r="K194">
        <v>25644.6</v>
      </c>
      <c r="L194">
        <v>420.91</v>
      </c>
      <c r="N194">
        <f t="shared" si="12"/>
        <v>4.6666666666666669E-2</v>
      </c>
      <c r="O194">
        <f t="shared" si="13"/>
        <v>0.18992248062015468</v>
      </c>
      <c r="P194">
        <f t="shared" si="14"/>
        <v>4.1360666666666664E-2</v>
      </c>
    </row>
    <row r="195" spans="1:16" x14ac:dyDescent="0.3">
      <c r="A195">
        <v>165</v>
      </c>
      <c r="B195">
        <v>0.06</v>
      </c>
      <c r="C195">
        <v>4.7E-2</v>
      </c>
      <c r="D195">
        <v>5.6000000000000001E-2</v>
      </c>
      <c r="E195">
        <v>0.183277962347729</v>
      </c>
      <c r="F195">
        <v>0.18161683277962301</v>
      </c>
      <c r="G195">
        <v>0.21096345514950099</v>
      </c>
      <c r="H195">
        <v>4.8189000000000003E-2</v>
      </c>
      <c r="I195">
        <v>3.8775999999999998E-2</v>
      </c>
      <c r="J195">
        <v>5.2636000000000002E-2</v>
      </c>
      <c r="K195">
        <v>32834.400000000001</v>
      </c>
      <c r="L195">
        <v>406.05</v>
      </c>
      <c r="N195">
        <f t="shared" si="12"/>
        <v>5.4333333333333338E-2</v>
      </c>
      <c r="O195">
        <f t="shared" si="13"/>
        <v>0.19195275009228432</v>
      </c>
      <c r="P195">
        <f t="shared" si="14"/>
        <v>4.6533666666666668E-2</v>
      </c>
    </row>
    <row r="196" spans="1:16" x14ac:dyDescent="0.3">
      <c r="A196">
        <v>170</v>
      </c>
      <c r="B196">
        <v>5.6000000000000001E-2</v>
      </c>
      <c r="C196">
        <v>4.2999999999999997E-2</v>
      </c>
      <c r="D196">
        <v>0.06</v>
      </c>
      <c r="E196">
        <v>0.16279069767441801</v>
      </c>
      <c r="F196">
        <v>0.167220376522702</v>
      </c>
      <c r="G196">
        <v>0.19656699889258</v>
      </c>
      <c r="H196">
        <v>4.7635999999999998E-2</v>
      </c>
      <c r="I196">
        <v>3.8775999999999998E-2</v>
      </c>
      <c r="J196">
        <v>5.3726000000000003E-2</v>
      </c>
      <c r="K196">
        <v>36960.699999999997</v>
      </c>
      <c r="L196">
        <v>487</v>
      </c>
      <c r="N196">
        <f t="shared" ref="N196:N227" si="15">AVERAGE(B196:D196)</f>
        <v>5.2999999999999999E-2</v>
      </c>
      <c r="O196">
        <f t="shared" ref="O196:O227" si="16">AVERAGE(E196:G196)</f>
        <v>0.17552602436323336</v>
      </c>
      <c r="P196">
        <f t="shared" ref="P196:P227" si="17">AVERAGE(H196:J196)</f>
        <v>4.6712666666666659E-2</v>
      </c>
    </row>
    <row r="197" spans="1:16" x14ac:dyDescent="0.3">
      <c r="A197">
        <v>175</v>
      </c>
      <c r="B197">
        <v>6.3E-2</v>
      </c>
      <c r="C197">
        <v>4.7E-2</v>
      </c>
      <c r="D197">
        <v>6.3E-2</v>
      </c>
      <c r="E197">
        <v>0.186046511627906</v>
      </c>
      <c r="F197">
        <v>0.18770764119601299</v>
      </c>
      <c r="G197">
        <v>0.20598006644518199</v>
      </c>
      <c r="H197">
        <v>5.3172999999999998E-2</v>
      </c>
      <c r="I197">
        <v>4.0437000000000001E-2</v>
      </c>
      <c r="J197">
        <v>5.4834000000000001E-2</v>
      </c>
      <c r="K197">
        <v>19631.099999999999</v>
      </c>
      <c r="L197">
        <v>410.77</v>
      </c>
      <c r="N197">
        <f t="shared" si="15"/>
        <v>5.7666666666666665E-2</v>
      </c>
      <c r="O197">
        <f t="shared" si="16"/>
        <v>0.193244739756367</v>
      </c>
      <c r="P197">
        <f t="shared" si="17"/>
        <v>4.9481333333333329E-2</v>
      </c>
    </row>
    <row r="198" spans="1:16" x14ac:dyDescent="0.3">
      <c r="A198">
        <v>180</v>
      </c>
      <c r="B198">
        <v>6.6000000000000003E-2</v>
      </c>
      <c r="C198">
        <v>0.05</v>
      </c>
      <c r="D198">
        <v>6.6000000000000003E-2</v>
      </c>
      <c r="E198">
        <v>0.185492801771871</v>
      </c>
      <c r="F198">
        <v>0.18660022148394201</v>
      </c>
      <c r="G198">
        <v>0.20210409745293401</v>
      </c>
      <c r="H198">
        <v>5.0958000000000003E-2</v>
      </c>
      <c r="I198">
        <v>4.2098999999999998E-2</v>
      </c>
      <c r="J198">
        <v>5.2618999999999999E-2</v>
      </c>
      <c r="K198">
        <v>27656.6</v>
      </c>
      <c r="L198">
        <v>454.25</v>
      </c>
      <c r="N198">
        <f t="shared" si="15"/>
        <v>6.0666666666666667E-2</v>
      </c>
      <c r="O198">
        <f t="shared" si="16"/>
        <v>0.19139904023624901</v>
      </c>
      <c r="P198">
        <f t="shared" si="17"/>
        <v>4.8558666666666667E-2</v>
      </c>
    </row>
    <row r="199" spans="1:16" x14ac:dyDescent="0.3">
      <c r="A199">
        <v>185</v>
      </c>
      <c r="B199">
        <v>6.3E-2</v>
      </c>
      <c r="C199">
        <v>4.7E-2</v>
      </c>
      <c r="D199">
        <v>6.3E-2</v>
      </c>
      <c r="E199">
        <v>0.186046511627907</v>
      </c>
      <c r="F199">
        <v>0.17441860465116199</v>
      </c>
      <c r="G199">
        <v>0.17995570321151699</v>
      </c>
      <c r="H199">
        <v>5.3726000000000003E-2</v>
      </c>
      <c r="I199">
        <v>4.7081999999999999E-2</v>
      </c>
      <c r="J199">
        <v>5.2618999999999999E-2</v>
      </c>
      <c r="K199">
        <v>36726.699999999997</v>
      </c>
      <c r="L199">
        <v>455.92</v>
      </c>
      <c r="N199">
        <f t="shared" si="15"/>
        <v>5.7666666666666665E-2</v>
      </c>
      <c r="O199">
        <f t="shared" si="16"/>
        <v>0.18014027316352865</v>
      </c>
      <c r="P199">
        <f t="shared" si="17"/>
        <v>5.1142333333333338E-2</v>
      </c>
    </row>
    <row r="200" spans="1:16" x14ac:dyDescent="0.3">
      <c r="A200">
        <v>190</v>
      </c>
      <c r="B200">
        <v>5.6000000000000001E-2</v>
      </c>
      <c r="C200">
        <v>0.04</v>
      </c>
      <c r="D200">
        <v>5.6000000000000001E-2</v>
      </c>
      <c r="E200">
        <v>0.18161683277962301</v>
      </c>
      <c r="F200">
        <v>0.16279069767441801</v>
      </c>
      <c r="G200">
        <v>0.188815060908084</v>
      </c>
      <c r="H200">
        <v>5.1512000000000002E-2</v>
      </c>
      <c r="I200">
        <v>3.9884000000000003E-2</v>
      </c>
      <c r="J200">
        <v>4.8743000000000002E-2</v>
      </c>
      <c r="K200">
        <v>38252</v>
      </c>
      <c r="L200">
        <v>362.44</v>
      </c>
      <c r="N200">
        <f t="shared" si="15"/>
        <v>5.0666666666666665E-2</v>
      </c>
      <c r="O200">
        <f t="shared" si="16"/>
        <v>0.177740863787375</v>
      </c>
      <c r="P200">
        <f t="shared" si="17"/>
        <v>4.6713000000000005E-2</v>
      </c>
    </row>
    <row r="201" spans="1:16" x14ac:dyDescent="0.3">
      <c r="A201">
        <v>195</v>
      </c>
      <c r="B201">
        <v>6.6000000000000003E-2</v>
      </c>
      <c r="C201">
        <v>0.05</v>
      </c>
      <c r="D201">
        <v>7.0000000000000007E-2</v>
      </c>
      <c r="E201">
        <v>0.18770764119601299</v>
      </c>
      <c r="F201">
        <v>0.160022148394241</v>
      </c>
      <c r="G201">
        <v>0.20985603543743001</v>
      </c>
      <c r="H201">
        <v>5.2618999999999999E-2</v>
      </c>
      <c r="I201">
        <v>4.4312999999999998E-2</v>
      </c>
      <c r="J201">
        <v>5.0403999999999997E-2</v>
      </c>
      <c r="K201">
        <v>22147</v>
      </c>
      <c r="L201">
        <v>371.53</v>
      </c>
      <c r="N201">
        <f t="shared" si="15"/>
        <v>6.2E-2</v>
      </c>
      <c r="O201">
        <f t="shared" si="16"/>
        <v>0.18586194167589468</v>
      </c>
      <c r="P201">
        <f t="shared" si="17"/>
        <v>4.9111999999999996E-2</v>
      </c>
    </row>
    <row r="202" spans="1:16" x14ac:dyDescent="0.3">
      <c r="A202">
        <v>200</v>
      </c>
      <c r="B202">
        <v>7.0000000000000007E-2</v>
      </c>
      <c r="C202">
        <v>5.2999999999999999E-2</v>
      </c>
      <c r="D202">
        <v>7.0000000000000007E-2</v>
      </c>
      <c r="E202">
        <v>0.19988925802879201</v>
      </c>
      <c r="F202">
        <v>0.196013289036544</v>
      </c>
      <c r="G202">
        <v>0.21317829457364301</v>
      </c>
      <c r="H202">
        <v>5.5940999999999998E-2</v>
      </c>
      <c r="I202">
        <v>4.7635999999999998E-2</v>
      </c>
      <c r="J202">
        <v>5.9817000000000002E-2</v>
      </c>
      <c r="K202">
        <v>28546.5</v>
      </c>
      <c r="L202">
        <v>344.81</v>
      </c>
      <c r="N202">
        <f t="shared" si="15"/>
        <v>6.433333333333334E-2</v>
      </c>
      <c r="O202">
        <f t="shared" si="16"/>
        <v>0.203026947212993</v>
      </c>
      <c r="P202">
        <f t="shared" si="17"/>
        <v>5.4464666666666668E-2</v>
      </c>
    </row>
    <row r="203" spans="1:16" x14ac:dyDescent="0.3">
      <c r="A203">
        <v>205</v>
      </c>
      <c r="B203">
        <v>8.3000000000000004E-2</v>
      </c>
      <c r="C203">
        <v>6.6000000000000003E-2</v>
      </c>
      <c r="D203">
        <v>7.2999999999999995E-2</v>
      </c>
      <c r="E203">
        <v>0.16943521594684299</v>
      </c>
      <c r="F203">
        <v>0.16611295681063101</v>
      </c>
      <c r="G203">
        <v>0.19988925802879201</v>
      </c>
      <c r="H203">
        <v>5.9263999999999997E-2</v>
      </c>
      <c r="I203">
        <v>5.0403999999999997E-2</v>
      </c>
      <c r="J203">
        <v>5.7049000000000002E-2</v>
      </c>
      <c r="K203">
        <v>37122.6</v>
      </c>
      <c r="L203">
        <v>336.59</v>
      </c>
      <c r="N203">
        <f t="shared" si="15"/>
        <v>7.400000000000001E-2</v>
      </c>
      <c r="O203">
        <f t="shared" si="16"/>
        <v>0.17847914359542202</v>
      </c>
      <c r="P203">
        <f t="shared" si="17"/>
        <v>5.5572333333333335E-2</v>
      </c>
    </row>
    <row r="204" spans="1:16" x14ac:dyDescent="0.3">
      <c r="A204">
        <v>210</v>
      </c>
      <c r="B204">
        <v>7.2999999999999995E-2</v>
      </c>
      <c r="C204">
        <v>0.06</v>
      </c>
      <c r="D204">
        <v>7.0000000000000007E-2</v>
      </c>
      <c r="E204">
        <v>0.175526024363233</v>
      </c>
      <c r="F204">
        <v>0.185492801771871</v>
      </c>
      <c r="G204">
        <v>0.19822812846068599</v>
      </c>
      <c r="H204">
        <v>5.0958000000000003E-2</v>
      </c>
      <c r="I204">
        <v>5.2618999999999999E-2</v>
      </c>
      <c r="J204">
        <v>5.8709999999999998E-2</v>
      </c>
      <c r="K204">
        <v>24619.9</v>
      </c>
      <c r="L204">
        <v>306.58999999999997</v>
      </c>
      <c r="N204">
        <f t="shared" si="15"/>
        <v>6.7666666666666667E-2</v>
      </c>
      <c r="O204">
        <f t="shared" si="16"/>
        <v>0.18641565153192999</v>
      </c>
      <c r="P204">
        <f t="shared" si="17"/>
        <v>5.4095666666666674E-2</v>
      </c>
    </row>
    <row r="205" spans="1:16" x14ac:dyDescent="0.3">
      <c r="A205">
        <v>215</v>
      </c>
      <c r="B205">
        <v>7.5999999999999998E-2</v>
      </c>
      <c r="C205">
        <v>0.06</v>
      </c>
      <c r="D205">
        <v>7.2999999999999995E-2</v>
      </c>
      <c r="E205">
        <v>0.152270210409745</v>
      </c>
      <c r="F205">
        <v>0.177740863787375</v>
      </c>
      <c r="G205">
        <v>0.18272425249169399</v>
      </c>
      <c r="H205">
        <v>5.3172999999999998E-2</v>
      </c>
      <c r="I205">
        <v>4.5421000000000003E-2</v>
      </c>
      <c r="J205">
        <v>5.1512000000000002E-2</v>
      </c>
      <c r="K205">
        <v>35435.4</v>
      </c>
      <c r="L205">
        <v>449.59</v>
      </c>
      <c r="N205">
        <f t="shared" si="15"/>
        <v>6.9666666666666668E-2</v>
      </c>
      <c r="O205">
        <f t="shared" si="16"/>
        <v>0.17091177556293799</v>
      </c>
      <c r="P205">
        <f t="shared" si="17"/>
        <v>5.0035333333333341E-2</v>
      </c>
    </row>
    <row r="206" spans="1:16" x14ac:dyDescent="0.3">
      <c r="A206">
        <v>220</v>
      </c>
      <c r="B206">
        <v>7.2999999999999995E-2</v>
      </c>
      <c r="C206">
        <v>5.6000000000000001E-2</v>
      </c>
      <c r="D206">
        <v>7.0000000000000007E-2</v>
      </c>
      <c r="E206">
        <v>0.18383167220376501</v>
      </c>
      <c r="F206">
        <v>0.175526024363233</v>
      </c>
      <c r="G206">
        <v>0.20874861572535899</v>
      </c>
      <c r="H206">
        <v>5.8709999999999998E-2</v>
      </c>
      <c r="I206">
        <v>5.0403999999999997E-2</v>
      </c>
      <c r="J206">
        <v>6.2586000000000003E-2</v>
      </c>
      <c r="K206">
        <v>41357.5</v>
      </c>
      <c r="L206">
        <v>375.55</v>
      </c>
      <c r="N206">
        <f t="shared" si="15"/>
        <v>6.6333333333333341E-2</v>
      </c>
      <c r="O206">
        <f t="shared" si="16"/>
        <v>0.18936877076411898</v>
      </c>
      <c r="P206">
        <f t="shared" si="17"/>
        <v>5.7233333333333331E-2</v>
      </c>
    </row>
    <row r="207" spans="1:16" x14ac:dyDescent="0.3">
      <c r="A207">
        <v>225</v>
      </c>
      <c r="B207">
        <v>0.08</v>
      </c>
      <c r="C207">
        <v>7.0000000000000007E-2</v>
      </c>
      <c r="D207">
        <v>0.08</v>
      </c>
      <c r="E207">
        <v>0.19213732004429601</v>
      </c>
      <c r="F207">
        <v>0.19435215946843801</v>
      </c>
      <c r="G207">
        <v>0.22093023255813901</v>
      </c>
      <c r="H207">
        <v>5.6494999999999997E-2</v>
      </c>
      <c r="I207">
        <v>4.5421000000000003E-2</v>
      </c>
      <c r="J207">
        <v>5.7602E-2</v>
      </c>
      <c r="K207">
        <v>27861</v>
      </c>
      <c r="L207">
        <v>310.94</v>
      </c>
      <c r="N207">
        <f t="shared" si="15"/>
        <v>7.6666666666666675E-2</v>
      </c>
      <c r="O207">
        <f t="shared" si="16"/>
        <v>0.20247323735695769</v>
      </c>
      <c r="P207">
        <f t="shared" si="17"/>
        <v>5.3172666666666667E-2</v>
      </c>
    </row>
    <row r="208" spans="1:16" x14ac:dyDescent="0.3">
      <c r="A208">
        <v>230</v>
      </c>
      <c r="B208">
        <v>7.2999999999999995E-2</v>
      </c>
      <c r="C208">
        <v>6.3E-2</v>
      </c>
      <c r="D208">
        <v>7.5999999999999998E-2</v>
      </c>
      <c r="E208">
        <v>0.18438538205980001</v>
      </c>
      <c r="F208">
        <v>0.196013289036544</v>
      </c>
      <c r="G208">
        <v>0.21096345514950099</v>
      </c>
      <c r="H208">
        <v>5.4280000000000002E-2</v>
      </c>
      <c r="I208">
        <v>4.7081999999999999E-2</v>
      </c>
      <c r="J208">
        <v>5.5940999999999998E-2</v>
      </c>
      <c r="K208">
        <v>39387.4</v>
      </c>
      <c r="L208">
        <v>297.83999999999997</v>
      </c>
      <c r="N208">
        <f t="shared" si="15"/>
        <v>7.0666666666666669E-2</v>
      </c>
      <c r="O208">
        <f t="shared" si="16"/>
        <v>0.19712070874861501</v>
      </c>
      <c r="P208">
        <f t="shared" si="17"/>
        <v>5.2434333333333333E-2</v>
      </c>
    </row>
    <row r="209" spans="1:16" x14ac:dyDescent="0.3">
      <c r="A209">
        <v>235</v>
      </c>
      <c r="B209">
        <v>0.08</v>
      </c>
      <c r="C209">
        <v>6.6000000000000003E-2</v>
      </c>
      <c r="D209">
        <v>7.2999999999999995E-2</v>
      </c>
      <c r="E209">
        <v>0.183277962347729</v>
      </c>
      <c r="F209">
        <v>0.180509413067552</v>
      </c>
      <c r="G209">
        <v>0.18438538205980001</v>
      </c>
      <c r="H209">
        <v>5.4280000000000002E-2</v>
      </c>
      <c r="I209">
        <v>4.5975000000000002E-2</v>
      </c>
      <c r="J209">
        <v>5.3726000000000003E-2</v>
      </c>
      <c r="K209">
        <v>42471</v>
      </c>
      <c r="L209">
        <v>574.45000000000005</v>
      </c>
      <c r="N209">
        <f t="shared" si="15"/>
        <v>7.3000000000000009E-2</v>
      </c>
      <c r="O209">
        <f t="shared" si="16"/>
        <v>0.18272425249169366</v>
      </c>
      <c r="P209">
        <f t="shared" si="17"/>
        <v>5.1327000000000005E-2</v>
      </c>
    </row>
    <row r="210" spans="1:16" x14ac:dyDescent="0.3">
      <c r="A210">
        <v>240</v>
      </c>
      <c r="B210">
        <v>8.5999999999999993E-2</v>
      </c>
      <c r="C210">
        <v>7.5999999999999998E-2</v>
      </c>
      <c r="D210">
        <v>8.3000000000000004E-2</v>
      </c>
      <c r="E210">
        <v>0.17386489479512701</v>
      </c>
      <c r="F210">
        <v>0.18660022148394201</v>
      </c>
      <c r="G210">
        <v>0.180509413067552</v>
      </c>
      <c r="H210">
        <v>6.2031999999999997E-2</v>
      </c>
      <c r="I210">
        <v>5.5388E-2</v>
      </c>
      <c r="J210">
        <v>6.4246999999999999E-2</v>
      </c>
      <c r="K210">
        <v>30320</v>
      </c>
      <c r="L210">
        <v>457.55</v>
      </c>
      <c r="N210">
        <f t="shared" si="15"/>
        <v>8.1666666666666665E-2</v>
      </c>
      <c r="O210">
        <f t="shared" si="16"/>
        <v>0.18032484311554034</v>
      </c>
      <c r="P210">
        <f t="shared" si="17"/>
        <v>6.0555666666666667E-2</v>
      </c>
    </row>
    <row r="211" spans="1:16" x14ac:dyDescent="0.3">
      <c r="A211">
        <v>245</v>
      </c>
      <c r="B211">
        <v>8.3000000000000004E-2</v>
      </c>
      <c r="C211">
        <v>7.2999999999999995E-2</v>
      </c>
      <c r="D211">
        <v>8.3000000000000004E-2</v>
      </c>
      <c r="E211">
        <v>0.20874861572535899</v>
      </c>
      <c r="F211">
        <v>0.185492801771871</v>
      </c>
      <c r="G211">
        <v>0.19213732004429601</v>
      </c>
      <c r="H211">
        <v>6.2586000000000003E-2</v>
      </c>
      <c r="I211">
        <v>5.8155999999999999E-2</v>
      </c>
      <c r="J211">
        <v>6.2586000000000003E-2</v>
      </c>
      <c r="K211">
        <v>42050.3</v>
      </c>
      <c r="L211">
        <v>355.31</v>
      </c>
      <c r="N211">
        <f t="shared" si="15"/>
        <v>7.9666666666666663E-2</v>
      </c>
      <c r="O211">
        <f t="shared" si="16"/>
        <v>0.19545957918050863</v>
      </c>
      <c r="P211">
        <f t="shared" si="17"/>
        <v>6.1109333333333328E-2</v>
      </c>
    </row>
    <row r="212" spans="1:16" x14ac:dyDescent="0.3">
      <c r="A212">
        <v>250</v>
      </c>
      <c r="B212">
        <v>8.3000000000000004E-2</v>
      </c>
      <c r="C212">
        <v>7.0000000000000007E-2</v>
      </c>
      <c r="D212">
        <v>8.3000000000000004E-2</v>
      </c>
      <c r="E212">
        <v>0.18660022148394201</v>
      </c>
      <c r="F212">
        <v>0.18660022148394201</v>
      </c>
      <c r="G212">
        <v>0.21040974529346601</v>
      </c>
      <c r="H212">
        <v>6.1477999999999998E-2</v>
      </c>
      <c r="I212">
        <v>5.7049000000000002E-2</v>
      </c>
      <c r="J212">
        <v>6.2586000000000003E-2</v>
      </c>
      <c r="K212">
        <v>43614.1</v>
      </c>
      <c r="L212">
        <v>501.91</v>
      </c>
      <c r="N212">
        <f t="shared" si="15"/>
        <v>7.8666666666666676E-2</v>
      </c>
      <c r="O212">
        <f t="shared" si="16"/>
        <v>0.19453672942045</v>
      </c>
      <c r="P212">
        <f t="shared" si="17"/>
        <v>6.0371000000000001E-2</v>
      </c>
    </row>
    <row r="213" spans="1:16" x14ac:dyDescent="0.3">
      <c r="A213">
        <v>255</v>
      </c>
      <c r="B213">
        <v>8.3000000000000004E-2</v>
      </c>
      <c r="C213">
        <v>7.0000000000000007E-2</v>
      </c>
      <c r="D213">
        <v>8.3000000000000004E-2</v>
      </c>
      <c r="E213">
        <v>0.18660022148394201</v>
      </c>
      <c r="F213">
        <v>0.18660022148394201</v>
      </c>
      <c r="G213">
        <v>0.21040974529346601</v>
      </c>
      <c r="H213">
        <v>6.1477999999999998E-2</v>
      </c>
      <c r="I213">
        <v>5.7049000000000002E-2</v>
      </c>
      <c r="J213">
        <v>6.2586000000000003E-2</v>
      </c>
      <c r="K213">
        <v>32751.3</v>
      </c>
      <c r="L213">
        <v>1481.89</v>
      </c>
      <c r="N213">
        <f t="shared" si="15"/>
        <v>7.8666666666666676E-2</v>
      </c>
      <c r="O213">
        <f t="shared" si="16"/>
        <v>0.19453672942045</v>
      </c>
      <c r="P213">
        <f t="shared" si="17"/>
        <v>6.0371000000000001E-2</v>
      </c>
    </row>
    <row r="214" spans="1:16" x14ac:dyDescent="0.3">
      <c r="A214">
        <v>260</v>
      </c>
      <c r="B214">
        <v>0.09</v>
      </c>
      <c r="C214">
        <v>0.08</v>
      </c>
      <c r="D214">
        <v>0.09</v>
      </c>
      <c r="E214">
        <v>0.20764119601328901</v>
      </c>
      <c r="F214">
        <v>0.181063122923588</v>
      </c>
      <c r="G214">
        <v>0.20819490586932399</v>
      </c>
      <c r="H214">
        <v>6.1477999999999998E-2</v>
      </c>
      <c r="I214">
        <v>5.8155999999999999E-2</v>
      </c>
      <c r="J214">
        <v>6.3693E-2</v>
      </c>
      <c r="K214">
        <v>45635.3</v>
      </c>
      <c r="L214">
        <v>391.33</v>
      </c>
      <c r="N214">
        <f t="shared" si="15"/>
        <v>8.666666666666667E-2</v>
      </c>
      <c r="O214">
        <f t="shared" si="16"/>
        <v>0.19896640826873369</v>
      </c>
      <c r="P214">
        <f t="shared" si="17"/>
        <v>6.1108999999999997E-2</v>
      </c>
    </row>
    <row r="215" spans="1:16" x14ac:dyDescent="0.3">
      <c r="A215">
        <v>265</v>
      </c>
      <c r="B215">
        <v>8.5999999999999993E-2</v>
      </c>
      <c r="C215">
        <v>7.5999999999999998E-2</v>
      </c>
      <c r="D215">
        <v>8.3000000000000004E-2</v>
      </c>
      <c r="E215">
        <v>0.20819490586932399</v>
      </c>
      <c r="F215">
        <v>0.19712070874861501</v>
      </c>
      <c r="G215">
        <v>0.22093023255813901</v>
      </c>
      <c r="H215">
        <v>6.0371000000000001E-2</v>
      </c>
      <c r="I215">
        <v>5.3726000000000003E-2</v>
      </c>
      <c r="J215">
        <v>6.0371000000000001E-2</v>
      </c>
      <c r="K215">
        <v>46415.3</v>
      </c>
      <c r="L215">
        <v>437.44</v>
      </c>
      <c r="N215">
        <f t="shared" si="15"/>
        <v>8.1666666666666665E-2</v>
      </c>
      <c r="O215">
        <f t="shared" si="16"/>
        <v>0.20874861572535933</v>
      </c>
      <c r="P215">
        <f t="shared" si="17"/>
        <v>5.8156000000000006E-2</v>
      </c>
    </row>
    <row r="216" spans="1:16" x14ac:dyDescent="0.3">
      <c r="A216">
        <v>270</v>
      </c>
      <c r="B216">
        <v>0.09</v>
      </c>
      <c r="C216">
        <v>8.3000000000000004E-2</v>
      </c>
      <c r="D216">
        <v>0.09</v>
      </c>
      <c r="E216">
        <v>0.217054263565891</v>
      </c>
      <c r="F216">
        <v>0.19435215946843801</v>
      </c>
      <c r="G216">
        <v>0.21151716500553699</v>
      </c>
      <c r="H216">
        <v>6.7569000000000004E-2</v>
      </c>
      <c r="I216">
        <v>6.2586000000000003E-2</v>
      </c>
      <c r="J216">
        <v>6.7016000000000006E-2</v>
      </c>
      <c r="K216">
        <v>35994.400000000001</v>
      </c>
      <c r="L216">
        <v>421.12</v>
      </c>
      <c r="N216">
        <f t="shared" si="15"/>
        <v>8.7666666666666671E-2</v>
      </c>
      <c r="O216">
        <f t="shared" si="16"/>
        <v>0.20764119601328868</v>
      </c>
      <c r="P216">
        <f t="shared" si="17"/>
        <v>6.572366666666668E-2</v>
      </c>
    </row>
    <row r="217" spans="1:16" x14ac:dyDescent="0.3">
      <c r="A217">
        <v>275</v>
      </c>
      <c r="B217">
        <v>8.5999999999999993E-2</v>
      </c>
      <c r="C217">
        <v>0.08</v>
      </c>
      <c r="D217">
        <v>8.5999999999999993E-2</v>
      </c>
      <c r="E217">
        <v>0.21151716500553699</v>
      </c>
      <c r="F217">
        <v>0.199335548172757</v>
      </c>
      <c r="G217">
        <v>0.19158361018826101</v>
      </c>
      <c r="H217">
        <v>5.9817000000000002E-2</v>
      </c>
      <c r="I217">
        <v>5.7602E-2</v>
      </c>
      <c r="J217">
        <v>6.5907999999999994E-2</v>
      </c>
      <c r="K217">
        <v>43257.7</v>
      </c>
      <c r="L217">
        <v>541.94000000000005</v>
      </c>
      <c r="N217">
        <f t="shared" si="15"/>
        <v>8.4000000000000005E-2</v>
      </c>
      <c r="O217">
        <f t="shared" si="16"/>
        <v>0.20081210778885164</v>
      </c>
      <c r="P217">
        <f t="shared" si="17"/>
        <v>6.1108999999999997E-2</v>
      </c>
    </row>
    <row r="218" spans="1:16" x14ac:dyDescent="0.3">
      <c r="A218">
        <v>280</v>
      </c>
      <c r="B218">
        <v>0.09</v>
      </c>
      <c r="C218">
        <v>0.08</v>
      </c>
      <c r="D218">
        <v>8.5999999999999993E-2</v>
      </c>
      <c r="E218">
        <v>0.214285714285714</v>
      </c>
      <c r="F218">
        <v>0.18438538205980001</v>
      </c>
      <c r="G218">
        <v>0.19435215946843801</v>
      </c>
      <c r="H218">
        <v>6.2031999999999997E-2</v>
      </c>
      <c r="I218">
        <v>5.5940999999999998E-2</v>
      </c>
      <c r="J218">
        <v>5.5940999999999998E-2</v>
      </c>
      <c r="K218">
        <v>38145.699999999997</v>
      </c>
      <c r="L218">
        <v>572.97</v>
      </c>
      <c r="N218">
        <f t="shared" si="15"/>
        <v>8.533333333333333E-2</v>
      </c>
      <c r="O218">
        <f t="shared" si="16"/>
        <v>0.19767441860465065</v>
      </c>
      <c r="P218">
        <f t="shared" si="17"/>
        <v>5.7971333333333326E-2</v>
      </c>
    </row>
    <row r="219" spans="1:16" x14ac:dyDescent="0.3">
      <c r="A219">
        <v>285</v>
      </c>
      <c r="B219">
        <v>0.09</v>
      </c>
      <c r="C219">
        <v>0.08</v>
      </c>
      <c r="D219">
        <v>8.5999999999999993E-2</v>
      </c>
      <c r="E219">
        <v>0.18161683277962301</v>
      </c>
      <c r="F219">
        <v>0.18161683277962301</v>
      </c>
      <c r="G219">
        <v>0.21151716500553699</v>
      </c>
      <c r="H219">
        <v>6.1477999999999998E-2</v>
      </c>
      <c r="I219">
        <v>5.9263999999999997E-2</v>
      </c>
      <c r="J219">
        <v>6.2586000000000003E-2</v>
      </c>
      <c r="K219">
        <v>45696.1</v>
      </c>
      <c r="L219">
        <v>570.86</v>
      </c>
      <c r="N219">
        <f t="shared" si="15"/>
        <v>8.533333333333333E-2</v>
      </c>
      <c r="O219">
        <f t="shared" si="16"/>
        <v>0.19158361018826101</v>
      </c>
      <c r="P219">
        <f t="shared" si="17"/>
        <v>6.1109333333333328E-2</v>
      </c>
    </row>
    <row r="220" spans="1:16" x14ac:dyDescent="0.3">
      <c r="A220">
        <v>290</v>
      </c>
      <c r="B220">
        <v>9.2999999999999999E-2</v>
      </c>
      <c r="C220">
        <v>8.3000000000000004E-2</v>
      </c>
      <c r="D220">
        <v>0.09</v>
      </c>
      <c r="E220">
        <v>0.193798449612403</v>
      </c>
      <c r="F220">
        <v>0.20819490586932399</v>
      </c>
      <c r="G220">
        <v>0.19545957918050899</v>
      </c>
      <c r="H220">
        <v>6.5353999999999995E-2</v>
      </c>
      <c r="I220">
        <v>6.3693E-2</v>
      </c>
      <c r="J220">
        <v>7.0890999999999996E-2</v>
      </c>
      <c r="K220">
        <v>40547</v>
      </c>
      <c r="L220">
        <v>451.73</v>
      </c>
      <c r="N220">
        <f t="shared" si="15"/>
        <v>8.8666666666666671E-2</v>
      </c>
      <c r="O220">
        <f t="shared" si="16"/>
        <v>0.19915097822074532</v>
      </c>
      <c r="P220">
        <f t="shared" si="17"/>
        <v>6.6645999999999997E-2</v>
      </c>
    </row>
    <row r="221" spans="1:16" x14ac:dyDescent="0.3">
      <c r="A221">
        <v>295</v>
      </c>
      <c r="B221">
        <v>0.09</v>
      </c>
      <c r="C221">
        <v>8.3000000000000004E-2</v>
      </c>
      <c r="D221">
        <v>9.2999999999999999E-2</v>
      </c>
      <c r="E221">
        <v>0.198781838316722</v>
      </c>
      <c r="F221">
        <v>0.22037652270210401</v>
      </c>
      <c r="G221">
        <v>0.19988925802879201</v>
      </c>
      <c r="H221">
        <v>7.6428999999999997E-2</v>
      </c>
      <c r="I221">
        <v>6.9783999999999999E-2</v>
      </c>
      <c r="J221">
        <v>7.8643000000000005E-2</v>
      </c>
      <c r="K221">
        <v>48082.2</v>
      </c>
      <c r="L221">
        <v>491.64</v>
      </c>
      <c r="N221">
        <f t="shared" si="15"/>
        <v>8.8666666666666671E-2</v>
      </c>
      <c r="O221">
        <f t="shared" si="16"/>
        <v>0.20634920634920598</v>
      </c>
      <c r="P221">
        <f t="shared" si="17"/>
        <v>7.4952000000000005E-2</v>
      </c>
    </row>
    <row r="222" spans="1:16" x14ac:dyDescent="0.3">
      <c r="A222">
        <v>300</v>
      </c>
      <c r="B222">
        <v>9.2999999999999999E-2</v>
      </c>
      <c r="C222">
        <v>8.5999999999999993E-2</v>
      </c>
      <c r="D222">
        <v>9.2999999999999999E-2</v>
      </c>
      <c r="E222">
        <v>0.22037652270210401</v>
      </c>
      <c r="F222">
        <v>0.21816168327796201</v>
      </c>
      <c r="G222">
        <v>0.207087486157253</v>
      </c>
      <c r="H222">
        <v>6.3693E-2</v>
      </c>
      <c r="I222">
        <v>6.0371000000000001E-2</v>
      </c>
      <c r="J222">
        <v>6.2586000000000003E-2</v>
      </c>
      <c r="K222">
        <v>42536</v>
      </c>
      <c r="L222">
        <v>626.09</v>
      </c>
      <c r="N222">
        <f t="shared" si="15"/>
        <v>9.0666666666666673E-2</v>
      </c>
      <c r="O222">
        <f t="shared" si="16"/>
        <v>0.21520856404577302</v>
      </c>
      <c r="P222">
        <f t="shared" si="17"/>
        <v>6.221666666666667E-2</v>
      </c>
    </row>
    <row r="223" spans="1:16" x14ac:dyDescent="0.3">
      <c r="A223">
        <v>305</v>
      </c>
      <c r="B223">
        <v>9.6000000000000002E-2</v>
      </c>
      <c r="C223">
        <v>0.09</v>
      </c>
      <c r="D223">
        <v>9.2999999999999999E-2</v>
      </c>
      <c r="E223">
        <v>0.20764119601328901</v>
      </c>
      <c r="F223">
        <v>0.21926910299003299</v>
      </c>
      <c r="G223">
        <v>0.23477297895902499</v>
      </c>
      <c r="H223">
        <v>7.1998999999999994E-2</v>
      </c>
      <c r="I223">
        <v>6.3693E-2</v>
      </c>
      <c r="J223">
        <v>7.4767E-2</v>
      </c>
      <c r="K223">
        <v>50394.400000000001</v>
      </c>
      <c r="L223">
        <v>520.55999999999995</v>
      </c>
      <c r="N223">
        <f t="shared" si="15"/>
        <v>9.3000000000000013E-2</v>
      </c>
      <c r="O223">
        <f t="shared" si="16"/>
        <v>0.22056109265411564</v>
      </c>
      <c r="P223">
        <f t="shared" si="17"/>
        <v>7.0152999999999993E-2</v>
      </c>
    </row>
    <row r="224" spans="1:16" x14ac:dyDescent="0.3">
      <c r="A224">
        <v>310</v>
      </c>
      <c r="B224">
        <v>9.2999999999999999E-2</v>
      </c>
      <c r="C224">
        <v>8.5999999999999993E-2</v>
      </c>
      <c r="D224">
        <v>0.09</v>
      </c>
      <c r="E224">
        <v>0.23089700996677701</v>
      </c>
      <c r="F224">
        <v>0.198781838316722</v>
      </c>
      <c r="G224">
        <v>0.212070874861572</v>
      </c>
      <c r="H224">
        <v>6.8123000000000003E-2</v>
      </c>
      <c r="I224">
        <v>6.3693E-2</v>
      </c>
      <c r="J224">
        <v>7.0890999999999996E-2</v>
      </c>
      <c r="K224">
        <v>44607.9</v>
      </c>
      <c r="L224">
        <v>596.29999999999995</v>
      </c>
      <c r="N224">
        <f t="shared" si="15"/>
        <v>8.9666666666666672E-2</v>
      </c>
      <c r="O224">
        <f t="shared" si="16"/>
        <v>0.21391657438169034</v>
      </c>
      <c r="P224">
        <f t="shared" si="17"/>
        <v>6.756899999999999E-2</v>
      </c>
    </row>
    <row r="225" spans="1:16" x14ac:dyDescent="0.3">
      <c r="A225">
        <v>315</v>
      </c>
      <c r="B225">
        <v>9.6000000000000002E-2</v>
      </c>
      <c r="C225">
        <v>0.09</v>
      </c>
      <c r="D225">
        <v>9.2999999999999999E-2</v>
      </c>
      <c r="E225">
        <v>0.209302325581395</v>
      </c>
      <c r="F225">
        <v>0.22978959025470599</v>
      </c>
      <c r="G225">
        <v>0.209302325581395</v>
      </c>
      <c r="H225">
        <v>7.5320999999999999E-2</v>
      </c>
      <c r="I225">
        <v>6.6461999999999993E-2</v>
      </c>
      <c r="J225">
        <v>6.923E-2</v>
      </c>
      <c r="K225">
        <v>52534.2</v>
      </c>
      <c r="L225">
        <v>1528.73</v>
      </c>
      <c r="N225">
        <f t="shared" si="15"/>
        <v>9.3000000000000013E-2</v>
      </c>
      <c r="O225">
        <f t="shared" si="16"/>
        <v>0.21613141380583198</v>
      </c>
      <c r="P225">
        <f t="shared" si="17"/>
        <v>7.0337666666666673E-2</v>
      </c>
    </row>
    <row r="226" spans="1:16" x14ac:dyDescent="0.3">
      <c r="A226">
        <v>320</v>
      </c>
      <c r="B226">
        <v>9.2999999999999999E-2</v>
      </c>
      <c r="C226">
        <v>8.3000000000000004E-2</v>
      </c>
      <c r="D226">
        <v>0.09</v>
      </c>
      <c r="E226">
        <v>0.22591362126245801</v>
      </c>
      <c r="F226">
        <v>0.206533776301218</v>
      </c>
      <c r="G226">
        <v>0.22037652270210401</v>
      </c>
      <c r="H226">
        <v>7.4214000000000002E-2</v>
      </c>
      <c r="I226">
        <v>7.9197000000000004E-2</v>
      </c>
      <c r="J226">
        <v>7.9751000000000002E-2</v>
      </c>
      <c r="K226">
        <v>46621</v>
      </c>
      <c r="L226">
        <v>543.44000000000005</v>
      </c>
      <c r="N226">
        <f t="shared" si="15"/>
        <v>8.8666666666666671E-2</v>
      </c>
      <c r="O226">
        <f t="shared" si="16"/>
        <v>0.21760797342192664</v>
      </c>
      <c r="P226">
        <f t="shared" si="17"/>
        <v>7.7720666666666674E-2</v>
      </c>
    </row>
    <row r="227" spans="1:16" x14ac:dyDescent="0.3">
      <c r="A227">
        <v>325</v>
      </c>
      <c r="B227">
        <v>0.1</v>
      </c>
      <c r="C227">
        <v>9.2999999999999999E-2</v>
      </c>
      <c r="D227">
        <v>9.2999999999999999E-2</v>
      </c>
      <c r="E227">
        <v>0.24695459579180501</v>
      </c>
      <c r="F227">
        <v>0.26190476190476097</v>
      </c>
      <c r="G227">
        <v>0.24252491694352099</v>
      </c>
      <c r="H227">
        <v>7.5320999999999999E-2</v>
      </c>
      <c r="I227">
        <v>7.6428999999999997E-2</v>
      </c>
      <c r="J227">
        <v>8.1411999999999998E-2</v>
      </c>
      <c r="K227">
        <v>50669.1</v>
      </c>
      <c r="L227">
        <v>642.72</v>
      </c>
      <c r="N227">
        <f t="shared" si="15"/>
        <v>9.5333333333333339E-2</v>
      </c>
      <c r="O227">
        <f t="shared" si="16"/>
        <v>0.25046142488002898</v>
      </c>
      <c r="P227">
        <f t="shared" si="17"/>
        <v>7.772066666666666E-2</v>
      </c>
    </row>
    <row r="228" spans="1:16" x14ac:dyDescent="0.3">
      <c r="A228">
        <v>330</v>
      </c>
      <c r="B228">
        <v>0.10299999999999999</v>
      </c>
      <c r="C228">
        <v>9.2999999999999999E-2</v>
      </c>
      <c r="D228">
        <v>9.6000000000000002E-2</v>
      </c>
      <c r="E228">
        <v>0.22093023255813901</v>
      </c>
      <c r="F228">
        <v>0.21871539313399699</v>
      </c>
      <c r="G228">
        <v>0.23145071982281201</v>
      </c>
      <c r="H228">
        <v>7.9751000000000002E-2</v>
      </c>
      <c r="I228">
        <v>7.5874999999999998E-2</v>
      </c>
      <c r="J228">
        <v>6.923E-2</v>
      </c>
      <c r="K228">
        <v>49029.1</v>
      </c>
      <c r="L228">
        <v>633.20000000000005</v>
      </c>
      <c r="N228">
        <f t="shared" ref="N228:N238" si="18">AVERAGE(B228:D228)</f>
        <v>9.7333333333333341E-2</v>
      </c>
      <c r="O228">
        <f t="shared" ref="O228:O238" si="19">AVERAGE(E228:G228)</f>
        <v>0.22369878183831601</v>
      </c>
      <c r="P228">
        <f t="shared" ref="P228:P238" si="20">AVERAGE(H228:J228)</f>
        <v>7.4952000000000005E-2</v>
      </c>
    </row>
    <row r="229" spans="1:16" x14ac:dyDescent="0.3">
      <c r="A229">
        <v>335</v>
      </c>
      <c r="B229">
        <v>0.1</v>
      </c>
      <c r="C229">
        <v>8.5999999999999993E-2</v>
      </c>
      <c r="D229">
        <v>0.09</v>
      </c>
      <c r="E229">
        <v>0.23754152823920199</v>
      </c>
      <c r="F229">
        <v>0.23532668881506</v>
      </c>
      <c r="G229">
        <v>0.22425249169435199</v>
      </c>
      <c r="H229">
        <v>7.3660000000000003E-2</v>
      </c>
      <c r="I229">
        <v>6.8677000000000002E-2</v>
      </c>
      <c r="J229">
        <v>7.5320999999999999E-2</v>
      </c>
      <c r="K229">
        <v>52163.7</v>
      </c>
      <c r="L229">
        <v>704.91</v>
      </c>
      <c r="N229">
        <f t="shared" si="18"/>
        <v>9.2000000000000012E-2</v>
      </c>
      <c r="O229">
        <f t="shared" si="19"/>
        <v>0.23237356958287134</v>
      </c>
      <c r="P229">
        <f t="shared" si="20"/>
        <v>7.2552666666666668E-2</v>
      </c>
    </row>
    <row r="230" spans="1:16" x14ac:dyDescent="0.3">
      <c r="A230">
        <v>340</v>
      </c>
      <c r="B230">
        <v>0.10299999999999999</v>
      </c>
      <c r="C230">
        <v>9.6000000000000002E-2</v>
      </c>
      <c r="D230">
        <v>0.1</v>
      </c>
      <c r="E230">
        <v>0.230343300110741</v>
      </c>
      <c r="F230">
        <v>0.21539313399778501</v>
      </c>
      <c r="G230">
        <v>0.22702104097452899</v>
      </c>
      <c r="H230">
        <v>8.3072999999999994E-2</v>
      </c>
      <c r="I230">
        <v>7.8090000000000007E-2</v>
      </c>
      <c r="J230">
        <v>8.0857999999999999E-2</v>
      </c>
      <c r="K230">
        <v>50997</v>
      </c>
      <c r="L230">
        <v>781.42</v>
      </c>
      <c r="N230">
        <f t="shared" si="18"/>
        <v>9.9666666666666681E-2</v>
      </c>
      <c r="O230">
        <f t="shared" si="19"/>
        <v>0.22425249169435169</v>
      </c>
      <c r="P230">
        <f t="shared" si="20"/>
        <v>8.0673666666666657E-2</v>
      </c>
    </row>
    <row r="231" spans="1:16" x14ac:dyDescent="0.3">
      <c r="A231">
        <v>345</v>
      </c>
      <c r="B231">
        <v>0.10299999999999999</v>
      </c>
      <c r="C231">
        <v>9.6000000000000002E-2</v>
      </c>
      <c r="D231">
        <v>0.1</v>
      </c>
      <c r="E231">
        <v>0.21096345514950099</v>
      </c>
      <c r="F231">
        <v>0.21317829457364301</v>
      </c>
      <c r="G231">
        <v>0.243632336655592</v>
      </c>
      <c r="H231">
        <v>7.2553000000000006E-2</v>
      </c>
      <c r="I231">
        <v>6.7016000000000006E-2</v>
      </c>
      <c r="J231">
        <v>7.5874999999999998E-2</v>
      </c>
      <c r="K231">
        <v>52041.2</v>
      </c>
      <c r="L231">
        <v>604.34</v>
      </c>
      <c r="N231">
        <f t="shared" si="18"/>
        <v>9.9666666666666681E-2</v>
      </c>
      <c r="O231">
        <f t="shared" si="19"/>
        <v>0.22259136212624533</v>
      </c>
      <c r="P231">
        <f t="shared" si="20"/>
        <v>7.1814666666666666E-2</v>
      </c>
    </row>
    <row r="232" spans="1:16" x14ac:dyDescent="0.3">
      <c r="A232">
        <v>350</v>
      </c>
      <c r="B232">
        <v>0.11</v>
      </c>
      <c r="C232">
        <v>9.6000000000000002E-2</v>
      </c>
      <c r="D232">
        <v>0.1</v>
      </c>
      <c r="E232">
        <v>0.24916943521594601</v>
      </c>
      <c r="F232">
        <v>0.21594684385381999</v>
      </c>
      <c r="G232">
        <v>0.24473975636766299</v>
      </c>
      <c r="H232">
        <v>7.5320999999999999E-2</v>
      </c>
      <c r="I232">
        <v>7.8643000000000005E-2</v>
      </c>
      <c r="J232">
        <v>7.9197000000000004E-2</v>
      </c>
      <c r="K232">
        <v>50894</v>
      </c>
      <c r="L232">
        <v>837.22</v>
      </c>
      <c r="N232">
        <f t="shared" si="18"/>
        <v>0.10200000000000002</v>
      </c>
      <c r="O232">
        <f t="shared" si="19"/>
        <v>0.236618678479143</v>
      </c>
      <c r="P232">
        <f t="shared" si="20"/>
        <v>7.7720333333333336E-2</v>
      </c>
    </row>
    <row r="233" spans="1:16" x14ac:dyDescent="0.3">
      <c r="A233">
        <v>355</v>
      </c>
      <c r="B233">
        <v>0.11</v>
      </c>
      <c r="C233">
        <v>0.10299999999999999</v>
      </c>
      <c r="D233">
        <v>0.10299999999999999</v>
      </c>
      <c r="E233">
        <v>0.23532668881506</v>
      </c>
      <c r="F233">
        <v>0.26467331118493898</v>
      </c>
      <c r="G233">
        <v>0.24916943521594601</v>
      </c>
      <c r="H233">
        <v>8.7502999999999997E-2</v>
      </c>
      <c r="I233">
        <v>8.4181000000000006E-2</v>
      </c>
      <c r="J233">
        <v>8.8055999999999995E-2</v>
      </c>
      <c r="K233">
        <v>31007.7</v>
      </c>
      <c r="L233">
        <v>663.8</v>
      </c>
      <c r="N233">
        <f t="shared" si="18"/>
        <v>0.10533333333333333</v>
      </c>
      <c r="O233">
        <f t="shared" si="19"/>
        <v>0.24972314507198168</v>
      </c>
      <c r="P233">
        <f t="shared" si="20"/>
        <v>8.657999999999999E-2</v>
      </c>
    </row>
    <row r="234" spans="1:16" x14ac:dyDescent="0.3">
      <c r="A234">
        <v>360</v>
      </c>
      <c r="B234">
        <v>0.11</v>
      </c>
      <c r="C234">
        <v>0.1</v>
      </c>
      <c r="D234">
        <v>0.10299999999999999</v>
      </c>
      <c r="E234">
        <v>0.20985603543743001</v>
      </c>
      <c r="F234">
        <v>0.23477297895902499</v>
      </c>
      <c r="G234">
        <v>0.24418604651162701</v>
      </c>
      <c r="H234">
        <v>7.9751000000000002E-2</v>
      </c>
      <c r="I234">
        <v>7.6428999999999997E-2</v>
      </c>
      <c r="J234">
        <v>7.8643000000000005E-2</v>
      </c>
      <c r="K234">
        <v>33164.699999999997</v>
      </c>
      <c r="L234">
        <v>773.31</v>
      </c>
      <c r="N234">
        <f t="shared" si="18"/>
        <v>0.10433333333333333</v>
      </c>
      <c r="O234">
        <f t="shared" si="19"/>
        <v>0.229605020302694</v>
      </c>
      <c r="P234">
        <f t="shared" si="20"/>
        <v>7.8274333333333335E-2</v>
      </c>
    </row>
    <row r="235" spans="1:16" x14ac:dyDescent="0.3">
      <c r="A235">
        <v>365</v>
      </c>
      <c r="B235">
        <v>0.11</v>
      </c>
      <c r="C235">
        <v>0.106</v>
      </c>
      <c r="D235">
        <v>0.106</v>
      </c>
      <c r="E235">
        <v>0.201550387596899</v>
      </c>
      <c r="F235">
        <v>0.24141749723145001</v>
      </c>
      <c r="G235">
        <v>0.246400885935769</v>
      </c>
      <c r="H235">
        <v>8.5842000000000002E-2</v>
      </c>
      <c r="I235">
        <v>8.8055999999999995E-2</v>
      </c>
      <c r="J235">
        <v>8.4181000000000006E-2</v>
      </c>
      <c r="K235">
        <v>16362.8</v>
      </c>
      <c r="L235">
        <v>816.41</v>
      </c>
      <c r="N235">
        <f t="shared" si="18"/>
        <v>0.10733333333333334</v>
      </c>
      <c r="O235">
        <f t="shared" si="19"/>
        <v>0.22978959025470602</v>
      </c>
      <c r="P235">
        <f t="shared" si="20"/>
        <v>8.602633333333333E-2</v>
      </c>
    </row>
    <row r="236" spans="1:16" x14ac:dyDescent="0.3">
      <c r="A236">
        <v>370</v>
      </c>
      <c r="B236">
        <v>0.113</v>
      </c>
      <c r="C236">
        <v>0.106</v>
      </c>
      <c r="D236">
        <v>0.11</v>
      </c>
      <c r="E236">
        <v>0.23975636766334399</v>
      </c>
      <c r="F236">
        <v>0.23643410852713101</v>
      </c>
      <c r="G236">
        <v>0.24750830564783999</v>
      </c>
      <c r="H236">
        <v>7.5874999999999998E-2</v>
      </c>
      <c r="I236">
        <v>7.9751000000000002E-2</v>
      </c>
      <c r="J236">
        <v>8.2518999999999995E-2</v>
      </c>
      <c r="K236">
        <v>39087.9</v>
      </c>
      <c r="L236">
        <v>858.52</v>
      </c>
      <c r="N236">
        <f t="shared" si="18"/>
        <v>0.10966666666666668</v>
      </c>
      <c r="O236">
        <f t="shared" si="19"/>
        <v>0.24123292727943832</v>
      </c>
      <c r="P236">
        <f t="shared" si="20"/>
        <v>7.938166666666667E-2</v>
      </c>
    </row>
    <row r="237" spans="1:16" x14ac:dyDescent="0.3">
      <c r="A237">
        <v>375</v>
      </c>
      <c r="B237">
        <v>0.13</v>
      </c>
      <c r="C237">
        <v>0.123</v>
      </c>
      <c r="D237">
        <v>0.123</v>
      </c>
      <c r="E237">
        <v>0.25968992248062001</v>
      </c>
      <c r="F237">
        <v>0.24197120708748601</v>
      </c>
      <c r="G237">
        <v>0.26910299003322202</v>
      </c>
      <c r="H237">
        <v>9.2485999999999999E-2</v>
      </c>
      <c r="I237">
        <v>9.0271000000000004E-2</v>
      </c>
      <c r="J237">
        <v>9.2485999999999999E-2</v>
      </c>
      <c r="K237">
        <v>30845.4</v>
      </c>
      <c r="L237">
        <v>1090.6199999999999</v>
      </c>
      <c r="N237">
        <f t="shared" si="18"/>
        <v>0.12533333333333332</v>
      </c>
      <c r="O237">
        <f t="shared" si="19"/>
        <v>0.25692137320044267</v>
      </c>
      <c r="P237">
        <f t="shared" si="20"/>
        <v>9.1747666666666672E-2</v>
      </c>
    </row>
    <row r="238" spans="1:16" x14ac:dyDescent="0.3">
      <c r="A238">
        <v>380</v>
      </c>
      <c r="B238">
        <v>0.13</v>
      </c>
      <c r="C238">
        <v>0.123</v>
      </c>
      <c r="D238">
        <v>0.123</v>
      </c>
      <c r="E238">
        <v>0.24529346622369799</v>
      </c>
      <c r="F238">
        <v>0.25193798449612398</v>
      </c>
      <c r="G238">
        <v>0.24141749723145001</v>
      </c>
      <c r="H238">
        <v>9.0271000000000004E-2</v>
      </c>
      <c r="I238">
        <v>8.5842000000000002E-2</v>
      </c>
      <c r="J238">
        <v>8.1411999999999998E-2</v>
      </c>
      <c r="K238">
        <v>36333.4</v>
      </c>
      <c r="L238">
        <v>2088.33</v>
      </c>
      <c r="N238">
        <f t="shared" si="18"/>
        <v>0.12533333333333332</v>
      </c>
      <c r="O238">
        <f t="shared" si="19"/>
        <v>0.24621631598375734</v>
      </c>
      <c r="P238">
        <f t="shared" si="20"/>
        <v>8.5841666666666663E-2</v>
      </c>
    </row>
    <row r="241" spans="1:19" x14ac:dyDescent="0.3">
      <c r="A241" t="s">
        <v>36</v>
      </c>
    </row>
    <row r="242" spans="1:19" x14ac:dyDescent="0.3">
      <c r="C242" t="s">
        <v>6</v>
      </c>
      <c r="F242" t="s">
        <v>7</v>
      </c>
      <c r="I242" t="s">
        <v>8</v>
      </c>
      <c r="O242" t="s">
        <v>83</v>
      </c>
      <c r="R242" t="s">
        <v>84</v>
      </c>
    </row>
    <row r="243" spans="1:19" x14ac:dyDescent="0.3">
      <c r="A243" t="s">
        <v>85</v>
      </c>
      <c r="B243" t="s">
        <v>86</v>
      </c>
      <c r="C243" t="s">
        <v>88</v>
      </c>
      <c r="D243" t="s">
        <v>90</v>
      </c>
      <c r="E243" t="s">
        <v>92</v>
      </c>
      <c r="F243" t="s">
        <v>93</v>
      </c>
      <c r="G243" t="s">
        <v>94</v>
      </c>
      <c r="H243" t="s">
        <v>92</v>
      </c>
      <c r="I243" t="s">
        <v>93</v>
      </c>
      <c r="J243" t="s">
        <v>94</v>
      </c>
      <c r="K243" t="s">
        <v>95</v>
      </c>
      <c r="L243" t="s">
        <v>96</v>
      </c>
      <c r="N243" t="s">
        <v>134</v>
      </c>
      <c r="O243" t="s">
        <v>122</v>
      </c>
      <c r="P243" t="s">
        <v>123</v>
      </c>
      <c r="Q243" t="s">
        <v>6</v>
      </c>
      <c r="R243" t="s">
        <v>7</v>
      </c>
      <c r="S243" t="s">
        <v>8</v>
      </c>
    </row>
    <row r="244" spans="1:19" x14ac:dyDescent="0.3">
      <c r="A244">
        <v>10</v>
      </c>
      <c r="B244">
        <v>3.6999999999999998E-2</v>
      </c>
      <c r="C244">
        <v>3.6999999999999998E-2</v>
      </c>
      <c r="D244">
        <v>3.6999999999999998E-2</v>
      </c>
      <c r="E244">
        <v>8.6046511627906899E-2</v>
      </c>
      <c r="F244">
        <v>0.101162790697674</v>
      </c>
      <c r="G244">
        <v>9.1472868217054207E-2</v>
      </c>
      <c r="H244">
        <v>6.5464999999999995E-2</v>
      </c>
      <c r="I244">
        <v>6.5464999999999995E-2</v>
      </c>
      <c r="J244">
        <v>6.5464999999999995E-2</v>
      </c>
      <c r="K244">
        <v>1900.2</v>
      </c>
      <c r="L244">
        <v>4.78</v>
      </c>
      <c r="N244">
        <f>AVERAGE(B244:D244)</f>
        <v>3.6999999999999998E-2</v>
      </c>
      <c r="O244">
        <f>AVERAGE(E244:G244)</f>
        <v>9.2894056847545037E-2</v>
      </c>
      <c r="P244">
        <f>AVERAGE(H244:J244)</f>
        <v>6.5464999999999995E-2</v>
      </c>
      <c r="Q244">
        <f>MIN(N244:N318)</f>
        <v>1.9E-2</v>
      </c>
      <c r="R244">
        <f>MIN(O244:O318)</f>
        <v>6.3695090439276444E-2</v>
      </c>
      <c r="S244">
        <f>MIN(P244:P318)</f>
        <v>2.3217000000000002E-2</v>
      </c>
    </row>
    <row r="245" spans="1:19" x14ac:dyDescent="0.3">
      <c r="A245">
        <v>15</v>
      </c>
      <c r="B245">
        <v>2.1000000000000001E-2</v>
      </c>
      <c r="C245">
        <v>2.1000000000000001E-2</v>
      </c>
      <c r="D245">
        <v>2.1000000000000001E-2</v>
      </c>
      <c r="E245">
        <v>8.95348837209302E-2</v>
      </c>
      <c r="F245">
        <v>9.8062015503875902E-2</v>
      </c>
      <c r="G245">
        <v>9.4961240310077494E-2</v>
      </c>
      <c r="H245">
        <v>7.0503999999999997E-2</v>
      </c>
      <c r="I245">
        <v>7.0503999999999997E-2</v>
      </c>
      <c r="J245">
        <v>7.0503999999999997E-2</v>
      </c>
      <c r="K245">
        <v>2211</v>
      </c>
      <c r="L245">
        <v>9.41</v>
      </c>
      <c r="N245">
        <f t="shared" ref="N245:N308" si="21">AVERAGE(B245:D245)</f>
        <v>2.1000000000000001E-2</v>
      </c>
      <c r="O245">
        <f t="shared" ref="O245:O308" si="22">AVERAGE(E245:G245)</f>
        <v>9.4186046511627874E-2</v>
      </c>
      <c r="P245">
        <f t="shared" ref="P245:P308" si="23">AVERAGE(H245:J245)</f>
        <v>7.0503999999999997E-2</v>
      </c>
      <c r="Q245" t="s">
        <v>117</v>
      </c>
      <c r="R245" t="s">
        <v>117</v>
      </c>
      <c r="S245" t="s">
        <v>117</v>
      </c>
    </row>
    <row r="246" spans="1:19" x14ac:dyDescent="0.3">
      <c r="A246">
        <v>20</v>
      </c>
      <c r="B246">
        <v>3.3000000000000002E-2</v>
      </c>
      <c r="C246">
        <v>3.3000000000000002E-2</v>
      </c>
      <c r="D246">
        <v>3.3000000000000002E-2</v>
      </c>
      <c r="E246">
        <v>0.13062015503875901</v>
      </c>
      <c r="F246">
        <v>0.114728682170542</v>
      </c>
      <c r="G246">
        <v>0.11937984496124</v>
      </c>
      <c r="H246">
        <v>6.8953E-2</v>
      </c>
      <c r="I246">
        <v>6.8953E-2</v>
      </c>
      <c r="J246">
        <v>6.8953E-2</v>
      </c>
      <c r="K246">
        <v>2403.6</v>
      </c>
      <c r="L246">
        <v>8.75</v>
      </c>
      <c r="N246">
        <f t="shared" si="21"/>
        <v>3.3000000000000002E-2</v>
      </c>
      <c r="O246">
        <f t="shared" si="22"/>
        <v>0.12157622739018033</v>
      </c>
      <c r="P246">
        <f t="shared" si="23"/>
        <v>6.8953E-2</v>
      </c>
    </row>
    <row r="247" spans="1:19" x14ac:dyDescent="0.3">
      <c r="A247">
        <v>25</v>
      </c>
      <c r="B247">
        <v>0.04</v>
      </c>
      <c r="C247">
        <v>0.04</v>
      </c>
      <c r="D247">
        <v>0.04</v>
      </c>
      <c r="E247">
        <v>0.14573643410852699</v>
      </c>
      <c r="F247">
        <v>0.13720930232558101</v>
      </c>
      <c r="G247">
        <v>0.14689922480620099</v>
      </c>
      <c r="H247">
        <v>7.3992000000000002E-2</v>
      </c>
      <c r="I247">
        <v>7.3992000000000002E-2</v>
      </c>
      <c r="J247">
        <v>7.3992000000000002E-2</v>
      </c>
      <c r="K247">
        <v>4147</v>
      </c>
      <c r="L247">
        <v>72.92</v>
      </c>
      <c r="N247">
        <f t="shared" si="21"/>
        <v>0.04</v>
      </c>
      <c r="O247">
        <f t="shared" si="22"/>
        <v>0.14328165374676968</v>
      </c>
      <c r="P247">
        <f t="shared" si="23"/>
        <v>7.3992000000000002E-2</v>
      </c>
    </row>
    <row r="248" spans="1:19" x14ac:dyDescent="0.3">
      <c r="A248">
        <v>30</v>
      </c>
      <c r="B248">
        <v>2.8000000000000001E-2</v>
      </c>
      <c r="C248">
        <v>2.8000000000000001E-2</v>
      </c>
      <c r="D248">
        <v>2.8000000000000001E-2</v>
      </c>
      <c r="E248">
        <v>0.16666666666666599</v>
      </c>
      <c r="F248">
        <v>0.156589147286821</v>
      </c>
      <c r="G248">
        <v>0.14689922480620099</v>
      </c>
      <c r="H248">
        <v>6.9728999999999999E-2</v>
      </c>
      <c r="I248">
        <v>6.9728999999999999E-2</v>
      </c>
      <c r="J248">
        <v>6.9728999999999999E-2</v>
      </c>
      <c r="K248">
        <v>7144.9</v>
      </c>
      <c r="L248">
        <v>125.22</v>
      </c>
      <c r="N248">
        <f t="shared" si="21"/>
        <v>2.8000000000000001E-2</v>
      </c>
      <c r="O248">
        <f t="shared" si="22"/>
        <v>0.15671834625322933</v>
      </c>
      <c r="P248">
        <f t="shared" si="23"/>
        <v>6.9728999999999999E-2</v>
      </c>
    </row>
    <row r="249" spans="1:19" x14ac:dyDescent="0.3">
      <c r="A249">
        <v>35</v>
      </c>
      <c r="B249">
        <v>3.3000000000000002E-2</v>
      </c>
      <c r="C249">
        <v>3.3000000000000002E-2</v>
      </c>
      <c r="D249">
        <v>3.3000000000000002E-2</v>
      </c>
      <c r="E249">
        <v>0.148837209302325</v>
      </c>
      <c r="F249">
        <v>0.158527131782945</v>
      </c>
      <c r="G249">
        <v>0.15348837209302299</v>
      </c>
      <c r="H249">
        <v>6.1976999999999997E-2</v>
      </c>
      <c r="I249">
        <v>6.1976999999999997E-2</v>
      </c>
      <c r="J249">
        <v>6.1976999999999997E-2</v>
      </c>
      <c r="K249">
        <v>10756.3</v>
      </c>
      <c r="L249">
        <v>170.58</v>
      </c>
      <c r="N249">
        <f t="shared" si="21"/>
        <v>3.3000000000000002E-2</v>
      </c>
      <c r="O249">
        <f t="shared" si="22"/>
        <v>0.153617571059431</v>
      </c>
      <c r="P249">
        <f t="shared" si="23"/>
        <v>6.1976999999999997E-2</v>
      </c>
    </row>
    <row r="250" spans="1:19" x14ac:dyDescent="0.3">
      <c r="A250">
        <v>40</v>
      </c>
      <c r="B250">
        <v>0.03</v>
      </c>
      <c r="C250">
        <v>0.03</v>
      </c>
      <c r="D250">
        <v>0.03</v>
      </c>
      <c r="E250">
        <v>0.15465116279069699</v>
      </c>
      <c r="F250">
        <v>0.15116279069767399</v>
      </c>
      <c r="G250">
        <v>0.16472868217054201</v>
      </c>
      <c r="H250">
        <v>6.3140000000000002E-2</v>
      </c>
      <c r="I250">
        <v>6.3140000000000002E-2</v>
      </c>
      <c r="J250">
        <v>6.3140000000000002E-2</v>
      </c>
      <c r="K250">
        <v>14842.1</v>
      </c>
      <c r="L250">
        <v>202.77</v>
      </c>
      <c r="N250">
        <f t="shared" si="21"/>
        <v>0.03</v>
      </c>
      <c r="O250">
        <f t="shared" si="22"/>
        <v>0.15684754521963765</v>
      </c>
      <c r="P250">
        <f t="shared" si="23"/>
        <v>6.3140000000000002E-2</v>
      </c>
    </row>
    <row r="251" spans="1:19" x14ac:dyDescent="0.3">
      <c r="A251">
        <v>45</v>
      </c>
      <c r="B251">
        <v>0.04</v>
      </c>
      <c r="C251">
        <v>0.04</v>
      </c>
      <c r="D251">
        <v>0.04</v>
      </c>
      <c r="E251">
        <v>0.143023255813953</v>
      </c>
      <c r="F251">
        <v>0.14263565891472799</v>
      </c>
      <c r="G251">
        <v>0.156589147286821</v>
      </c>
      <c r="H251">
        <v>6.5077999999999997E-2</v>
      </c>
      <c r="I251">
        <v>6.5077999999999997E-2</v>
      </c>
      <c r="J251">
        <v>6.5077999999999997E-2</v>
      </c>
      <c r="K251">
        <v>19392.900000000001</v>
      </c>
      <c r="L251">
        <v>236.3</v>
      </c>
      <c r="N251">
        <f t="shared" si="21"/>
        <v>0.04</v>
      </c>
      <c r="O251">
        <f t="shared" si="22"/>
        <v>0.14741602067183399</v>
      </c>
      <c r="P251">
        <f t="shared" si="23"/>
        <v>6.5077999999999997E-2</v>
      </c>
    </row>
    <row r="252" spans="1:19" x14ac:dyDescent="0.3">
      <c r="A252">
        <v>50</v>
      </c>
      <c r="B252">
        <v>3.3000000000000002E-2</v>
      </c>
      <c r="C252">
        <v>3.3000000000000002E-2</v>
      </c>
      <c r="D252">
        <v>3.3000000000000002E-2</v>
      </c>
      <c r="E252">
        <v>0.11201550387596899</v>
      </c>
      <c r="F252">
        <v>0.13023255813953399</v>
      </c>
      <c r="G252">
        <v>0.131007751937984</v>
      </c>
      <c r="H252">
        <v>5.9651000000000003E-2</v>
      </c>
      <c r="I252">
        <v>5.9651000000000003E-2</v>
      </c>
      <c r="J252">
        <v>5.9651000000000003E-2</v>
      </c>
      <c r="K252">
        <v>24460.799999999999</v>
      </c>
      <c r="L252">
        <v>256.42</v>
      </c>
      <c r="N252">
        <f t="shared" si="21"/>
        <v>3.3000000000000002E-2</v>
      </c>
      <c r="O252">
        <f t="shared" si="22"/>
        <v>0.12441860465116232</v>
      </c>
      <c r="P252">
        <f t="shared" si="23"/>
        <v>5.9651000000000003E-2</v>
      </c>
    </row>
    <row r="253" spans="1:19" x14ac:dyDescent="0.3">
      <c r="A253">
        <v>55</v>
      </c>
      <c r="B253">
        <v>3.6999999999999998E-2</v>
      </c>
      <c r="C253">
        <v>3.6999999999999998E-2</v>
      </c>
      <c r="D253">
        <v>3.6999999999999998E-2</v>
      </c>
      <c r="E253">
        <v>0.14147286821705399</v>
      </c>
      <c r="F253">
        <v>0.14379844961240301</v>
      </c>
      <c r="G253">
        <v>0.15387596899224801</v>
      </c>
      <c r="H253">
        <v>6.3915E-2</v>
      </c>
      <c r="I253">
        <v>6.3915E-2</v>
      </c>
      <c r="J253">
        <v>6.3915E-2</v>
      </c>
      <c r="K253">
        <v>29988.400000000001</v>
      </c>
      <c r="L253">
        <v>291.23</v>
      </c>
      <c r="N253">
        <f t="shared" si="21"/>
        <v>3.6999999999999998E-2</v>
      </c>
      <c r="O253">
        <f t="shared" si="22"/>
        <v>0.14638242894056833</v>
      </c>
      <c r="P253">
        <f t="shared" si="23"/>
        <v>6.3915E-2</v>
      </c>
    </row>
    <row r="254" spans="1:19" x14ac:dyDescent="0.3">
      <c r="A254">
        <v>60</v>
      </c>
      <c r="B254">
        <v>2.8000000000000001E-2</v>
      </c>
      <c r="C254">
        <v>2.8000000000000001E-2</v>
      </c>
      <c r="D254">
        <v>2.8000000000000001E-2</v>
      </c>
      <c r="E254">
        <v>0.12364341085271301</v>
      </c>
      <c r="F254">
        <v>0.15891472868216999</v>
      </c>
      <c r="G254">
        <v>0.13914728682170499</v>
      </c>
      <c r="H254">
        <v>6.1201999999999999E-2</v>
      </c>
      <c r="I254">
        <v>6.1201999999999999E-2</v>
      </c>
      <c r="J254">
        <v>6.1201999999999999E-2</v>
      </c>
      <c r="K254">
        <v>35934.300000000003</v>
      </c>
      <c r="L254">
        <v>217.84</v>
      </c>
      <c r="N254">
        <f t="shared" si="21"/>
        <v>2.8000000000000001E-2</v>
      </c>
      <c r="O254">
        <f t="shared" si="22"/>
        <v>0.140568475452196</v>
      </c>
      <c r="P254">
        <f t="shared" si="23"/>
        <v>6.1201999999999999E-2</v>
      </c>
    </row>
    <row r="255" spans="1:19" x14ac:dyDescent="0.3">
      <c r="A255">
        <v>65</v>
      </c>
      <c r="B255">
        <v>2.5999999999999999E-2</v>
      </c>
      <c r="C255">
        <v>2.5999999999999999E-2</v>
      </c>
      <c r="D255">
        <v>2.5999999999999999E-2</v>
      </c>
      <c r="E255">
        <v>0.13488372093023199</v>
      </c>
      <c r="F255">
        <v>0.13604651162790601</v>
      </c>
      <c r="G255">
        <v>0.14186046511627901</v>
      </c>
      <c r="H255">
        <v>5.7326000000000002E-2</v>
      </c>
      <c r="I255">
        <v>5.7326000000000002E-2</v>
      </c>
      <c r="J255">
        <v>5.7326000000000002E-2</v>
      </c>
      <c r="K255">
        <v>36345.800000000003</v>
      </c>
      <c r="L255">
        <v>64.58</v>
      </c>
      <c r="N255">
        <f t="shared" si="21"/>
        <v>2.5999999999999999E-2</v>
      </c>
      <c r="O255">
        <f t="shared" si="22"/>
        <v>0.13759689922480567</v>
      </c>
      <c r="P255">
        <f t="shared" si="23"/>
        <v>5.7326000000000009E-2</v>
      </c>
    </row>
    <row r="256" spans="1:19" x14ac:dyDescent="0.3">
      <c r="A256">
        <v>70</v>
      </c>
      <c r="B256">
        <v>2.8000000000000001E-2</v>
      </c>
      <c r="C256">
        <v>2.8000000000000001E-2</v>
      </c>
      <c r="D256">
        <v>2.8000000000000001E-2</v>
      </c>
      <c r="E256">
        <v>0.15465116279069699</v>
      </c>
      <c r="F256">
        <v>0.15</v>
      </c>
      <c r="G256">
        <v>0.14457364341085199</v>
      </c>
      <c r="H256">
        <v>6.2364000000000003E-2</v>
      </c>
      <c r="I256">
        <v>6.2364000000000003E-2</v>
      </c>
      <c r="J256">
        <v>6.2364000000000003E-2</v>
      </c>
      <c r="K256">
        <v>13004.9</v>
      </c>
      <c r="L256">
        <v>134.02000000000001</v>
      </c>
      <c r="N256">
        <f t="shared" si="21"/>
        <v>2.8000000000000001E-2</v>
      </c>
      <c r="O256">
        <f t="shared" si="22"/>
        <v>0.14974160206718298</v>
      </c>
      <c r="P256">
        <f t="shared" si="23"/>
        <v>6.2364000000000003E-2</v>
      </c>
    </row>
    <row r="257" spans="1:16" x14ac:dyDescent="0.3">
      <c r="A257">
        <v>75</v>
      </c>
      <c r="B257">
        <v>2.8000000000000001E-2</v>
      </c>
      <c r="C257">
        <v>2.8000000000000001E-2</v>
      </c>
      <c r="D257">
        <v>2.8000000000000001E-2</v>
      </c>
      <c r="E257">
        <v>0.13527131782945701</v>
      </c>
      <c r="F257">
        <v>0.15968992248062</v>
      </c>
      <c r="G257">
        <v>0.12945736434108501</v>
      </c>
      <c r="H257">
        <v>5.6550000000000003E-2</v>
      </c>
      <c r="I257">
        <v>5.6550000000000003E-2</v>
      </c>
      <c r="J257">
        <v>5.6550000000000003E-2</v>
      </c>
      <c r="K257">
        <v>20442.599999999999</v>
      </c>
      <c r="L257">
        <v>327.58</v>
      </c>
      <c r="N257">
        <f t="shared" si="21"/>
        <v>2.8000000000000001E-2</v>
      </c>
      <c r="O257">
        <f t="shared" si="22"/>
        <v>0.14147286821705399</v>
      </c>
      <c r="P257">
        <f t="shared" si="23"/>
        <v>5.655000000000001E-2</v>
      </c>
    </row>
    <row r="258" spans="1:16" x14ac:dyDescent="0.3">
      <c r="A258">
        <v>80</v>
      </c>
      <c r="B258">
        <v>0.03</v>
      </c>
      <c r="C258">
        <v>0.03</v>
      </c>
      <c r="D258">
        <v>0.03</v>
      </c>
      <c r="E258">
        <v>0.14147286821705399</v>
      </c>
      <c r="F258">
        <v>0.13527131782945701</v>
      </c>
      <c r="G258">
        <v>0.14031007751937899</v>
      </c>
      <c r="H258">
        <v>5.1512000000000002E-2</v>
      </c>
      <c r="I258">
        <v>5.1512000000000002E-2</v>
      </c>
      <c r="J258">
        <v>5.1512000000000002E-2</v>
      </c>
      <c r="K258">
        <v>28365.3</v>
      </c>
      <c r="L258">
        <v>279.86</v>
      </c>
      <c r="N258">
        <f t="shared" si="21"/>
        <v>0.03</v>
      </c>
      <c r="O258">
        <f t="shared" si="22"/>
        <v>0.13901808785529665</v>
      </c>
      <c r="P258">
        <f t="shared" si="23"/>
        <v>5.1512000000000002E-2</v>
      </c>
    </row>
    <row r="259" spans="1:16" x14ac:dyDescent="0.3">
      <c r="A259">
        <v>85</v>
      </c>
      <c r="B259">
        <v>2.5999999999999999E-2</v>
      </c>
      <c r="C259">
        <v>2.5999999999999999E-2</v>
      </c>
      <c r="D259">
        <v>2.5999999999999999E-2</v>
      </c>
      <c r="E259">
        <v>0.11937984496124</v>
      </c>
      <c r="F259">
        <v>0.14031007751937899</v>
      </c>
      <c r="G259">
        <v>0.13294573643410801</v>
      </c>
      <c r="H259">
        <v>4.9186000000000001E-2</v>
      </c>
      <c r="I259">
        <v>4.9186000000000001E-2</v>
      </c>
      <c r="J259">
        <v>4.9186000000000001E-2</v>
      </c>
      <c r="K259">
        <v>36685.599999999999</v>
      </c>
      <c r="L259">
        <v>345.73</v>
      </c>
      <c r="N259">
        <f t="shared" si="21"/>
        <v>2.5999999999999999E-2</v>
      </c>
      <c r="O259">
        <f t="shared" si="22"/>
        <v>0.13087855297157566</v>
      </c>
      <c r="P259">
        <f t="shared" si="23"/>
        <v>4.9186000000000001E-2</v>
      </c>
    </row>
    <row r="260" spans="1:16" x14ac:dyDescent="0.3">
      <c r="A260">
        <v>90</v>
      </c>
      <c r="B260">
        <v>2.8000000000000001E-2</v>
      </c>
      <c r="C260">
        <v>2.8000000000000001E-2</v>
      </c>
      <c r="D260">
        <v>2.8000000000000001E-2</v>
      </c>
      <c r="E260">
        <v>0.122093023255813</v>
      </c>
      <c r="F260">
        <v>0.118992248062015</v>
      </c>
      <c r="G260">
        <v>0.11201550387596799</v>
      </c>
      <c r="H260">
        <v>5.3449999999999998E-2</v>
      </c>
      <c r="I260">
        <v>5.3449999999999998E-2</v>
      </c>
      <c r="J260">
        <v>5.3449999999999998E-2</v>
      </c>
      <c r="K260">
        <v>37753.800000000003</v>
      </c>
      <c r="L260">
        <v>214.38</v>
      </c>
      <c r="N260">
        <f t="shared" si="21"/>
        <v>2.8000000000000001E-2</v>
      </c>
      <c r="O260">
        <f t="shared" si="22"/>
        <v>0.11770025839793201</v>
      </c>
      <c r="P260">
        <f t="shared" si="23"/>
        <v>5.3449999999999998E-2</v>
      </c>
    </row>
    <row r="261" spans="1:16" x14ac:dyDescent="0.3">
      <c r="A261">
        <v>95</v>
      </c>
      <c r="B261">
        <v>2.8000000000000001E-2</v>
      </c>
      <c r="C261">
        <v>2.8000000000000001E-2</v>
      </c>
      <c r="D261">
        <v>2.8000000000000001E-2</v>
      </c>
      <c r="E261">
        <v>0.12519379844961201</v>
      </c>
      <c r="F261">
        <v>0.110852713178294</v>
      </c>
      <c r="G261">
        <v>0.120155038759689</v>
      </c>
      <c r="H261">
        <v>4.9186000000000001E-2</v>
      </c>
      <c r="I261">
        <v>4.9186000000000001E-2</v>
      </c>
      <c r="J261">
        <v>4.9186000000000001E-2</v>
      </c>
      <c r="K261">
        <v>19637.2</v>
      </c>
      <c r="L261">
        <v>332.83</v>
      </c>
      <c r="N261">
        <f t="shared" si="21"/>
        <v>2.8000000000000001E-2</v>
      </c>
      <c r="O261">
        <f t="shared" si="22"/>
        <v>0.11873385012919835</v>
      </c>
      <c r="P261">
        <f t="shared" si="23"/>
        <v>4.9186000000000001E-2</v>
      </c>
    </row>
    <row r="262" spans="1:16" x14ac:dyDescent="0.3">
      <c r="A262">
        <v>100</v>
      </c>
      <c r="B262">
        <v>0.03</v>
      </c>
      <c r="C262">
        <v>0.03</v>
      </c>
      <c r="D262">
        <v>0.03</v>
      </c>
      <c r="E262">
        <v>0.13139534883720899</v>
      </c>
      <c r="F262">
        <v>0.106976744186046</v>
      </c>
      <c r="G262">
        <v>0.10658914728682101</v>
      </c>
      <c r="H262">
        <v>5.0348999999999998E-2</v>
      </c>
      <c r="I262">
        <v>5.0348999999999998E-2</v>
      </c>
      <c r="J262">
        <v>5.0348999999999998E-2</v>
      </c>
      <c r="K262">
        <v>29414.2</v>
      </c>
      <c r="L262">
        <v>384</v>
      </c>
      <c r="N262">
        <f t="shared" si="21"/>
        <v>0.03</v>
      </c>
      <c r="O262">
        <f t="shared" si="22"/>
        <v>0.11498708010335867</v>
      </c>
      <c r="P262">
        <f t="shared" si="23"/>
        <v>5.0348999999999998E-2</v>
      </c>
    </row>
    <row r="263" spans="1:16" x14ac:dyDescent="0.3">
      <c r="A263">
        <v>105</v>
      </c>
      <c r="B263">
        <v>0.03</v>
      </c>
      <c r="C263">
        <v>0.03</v>
      </c>
      <c r="D263">
        <v>0.03</v>
      </c>
      <c r="E263">
        <v>0.10930232558139499</v>
      </c>
      <c r="F263">
        <v>0.10271317829457299</v>
      </c>
      <c r="G263">
        <v>0.10155038759689899</v>
      </c>
      <c r="H263">
        <v>4.8411000000000003E-2</v>
      </c>
      <c r="I263">
        <v>4.8411000000000003E-2</v>
      </c>
      <c r="J263">
        <v>4.8411000000000003E-2</v>
      </c>
      <c r="K263">
        <v>35150.800000000003</v>
      </c>
      <c r="L263">
        <v>323.44</v>
      </c>
      <c r="N263">
        <f t="shared" si="21"/>
        <v>0.03</v>
      </c>
      <c r="O263">
        <f t="shared" si="22"/>
        <v>0.10452196382428898</v>
      </c>
      <c r="P263">
        <f t="shared" si="23"/>
        <v>4.8411000000000003E-2</v>
      </c>
    </row>
    <row r="264" spans="1:16" x14ac:dyDescent="0.3">
      <c r="A264">
        <v>110</v>
      </c>
      <c r="B264">
        <v>0.03</v>
      </c>
      <c r="C264">
        <v>0.03</v>
      </c>
      <c r="D264">
        <v>0.03</v>
      </c>
      <c r="E264">
        <v>9.6124031007751895E-2</v>
      </c>
      <c r="F264">
        <v>0.104263565891472</v>
      </c>
      <c r="G264">
        <v>9.68992248062015E-2</v>
      </c>
      <c r="H264">
        <v>4.3372000000000001E-2</v>
      </c>
      <c r="I264">
        <v>4.3372000000000001E-2</v>
      </c>
      <c r="J264">
        <v>4.3372000000000001E-2</v>
      </c>
      <c r="K264">
        <v>23727.5</v>
      </c>
      <c r="L264">
        <v>345.03</v>
      </c>
      <c r="N264">
        <f t="shared" si="21"/>
        <v>0.03</v>
      </c>
      <c r="O264">
        <f t="shared" si="22"/>
        <v>9.9095607235141811E-2</v>
      </c>
      <c r="P264">
        <f t="shared" si="23"/>
        <v>4.3372000000000001E-2</v>
      </c>
    </row>
    <row r="265" spans="1:16" x14ac:dyDescent="0.3">
      <c r="A265">
        <v>115</v>
      </c>
      <c r="B265">
        <v>0.03</v>
      </c>
      <c r="C265">
        <v>0.03</v>
      </c>
      <c r="D265">
        <v>0.03</v>
      </c>
      <c r="E265">
        <v>0.112790697674418</v>
      </c>
      <c r="F265">
        <v>0.10658914728682101</v>
      </c>
      <c r="G265">
        <v>0.106201550387596</v>
      </c>
      <c r="H265">
        <v>4.4146999999999999E-2</v>
      </c>
      <c r="I265">
        <v>4.4146999999999999E-2</v>
      </c>
      <c r="J265">
        <v>4.4146999999999999E-2</v>
      </c>
      <c r="K265">
        <v>35049.599999999999</v>
      </c>
      <c r="L265">
        <v>398.11</v>
      </c>
      <c r="N265">
        <f t="shared" si="21"/>
        <v>0.03</v>
      </c>
      <c r="O265">
        <f t="shared" si="22"/>
        <v>0.108527131782945</v>
      </c>
      <c r="P265">
        <f t="shared" si="23"/>
        <v>4.4146999999999999E-2</v>
      </c>
    </row>
    <row r="266" spans="1:16" x14ac:dyDescent="0.3">
      <c r="A266">
        <v>120</v>
      </c>
      <c r="B266">
        <v>2.8000000000000001E-2</v>
      </c>
      <c r="C266">
        <v>2.8000000000000001E-2</v>
      </c>
      <c r="D266">
        <v>2.8000000000000001E-2</v>
      </c>
      <c r="E266">
        <v>9.4186046511627902E-2</v>
      </c>
      <c r="F266">
        <v>0.100387596899224</v>
      </c>
      <c r="G266">
        <v>9.8062015503875902E-2</v>
      </c>
      <c r="H266">
        <v>3.8332999999999999E-2</v>
      </c>
      <c r="I266">
        <v>3.8332999999999999E-2</v>
      </c>
      <c r="J266">
        <v>3.8332999999999999E-2</v>
      </c>
      <c r="K266">
        <v>38907.1</v>
      </c>
      <c r="L266">
        <v>283.45</v>
      </c>
      <c r="N266">
        <f t="shared" si="21"/>
        <v>2.8000000000000001E-2</v>
      </c>
      <c r="O266">
        <f t="shared" si="22"/>
        <v>9.75452196382426E-2</v>
      </c>
      <c r="P266">
        <f t="shared" si="23"/>
        <v>3.8332999999999999E-2</v>
      </c>
    </row>
    <row r="267" spans="1:16" x14ac:dyDescent="0.3">
      <c r="A267">
        <v>125</v>
      </c>
      <c r="B267">
        <v>0.03</v>
      </c>
      <c r="C267">
        <v>0.03</v>
      </c>
      <c r="D267">
        <v>0.03</v>
      </c>
      <c r="E267">
        <v>9.8837209302325493E-2</v>
      </c>
      <c r="F267">
        <v>9.8837209302325493E-2</v>
      </c>
      <c r="G267">
        <v>0.10155038759689899</v>
      </c>
      <c r="H267">
        <v>4.2209000000000003E-2</v>
      </c>
      <c r="I267">
        <v>4.2209000000000003E-2</v>
      </c>
      <c r="J267">
        <v>4.2209000000000003E-2</v>
      </c>
      <c r="K267">
        <v>28038.6</v>
      </c>
      <c r="L267">
        <v>460.11</v>
      </c>
      <c r="N267">
        <f t="shared" si="21"/>
        <v>0.03</v>
      </c>
      <c r="O267">
        <f t="shared" si="22"/>
        <v>9.9741602067183341E-2</v>
      </c>
      <c r="P267">
        <f t="shared" si="23"/>
        <v>4.2209000000000003E-2</v>
      </c>
    </row>
    <row r="268" spans="1:16" x14ac:dyDescent="0.3">
      <c r="A268">
        <v>130</v>
      </c>
      <c r="B268">
        <v>0.03</v>
      </c>
      <c r="C268">
        <v>0.03</v>
      </c>
      <c r="D268">
        <v>0.03</v>
      </c>
      <c r="E268">
        <v>9.8837209302325493E-2</v>
      </c>
      <c r="F268">
        <v>9.4961240310077494E-2</v>
      </c>
      <c r="G268">
        <v>0.103488372093023</v>
      </c>
      <c r="H268">
        <v>3.9496000000000003E-2</v>
      </c>
      <c r="I268">
        <v>3.9496000000000003E-2</v>
      </c>
      <c r="J268">
        <v>3.9496000000000003E-2</v>
      </c>
      <c r="K268">
        <v>40731.1</v>
      </c>
      <c r="L268">
        <v>550.38</v>
      </c>
      <c r="N268">
        <f t="shared" si="21"/>
        <v>0.03</v>
      </c>
      <c r="O268">
        <f t="shared" si="22"/>
        <v>9.9095607235141991E-2</v>
      </c>
      <c r="P268">
        <f t="shared" si="23"/>
        <v>3.9496000000000003E-2</v>
      </c>
    </row>
    <row r="269" spans="1:16" x14ac:dyDescent="0.3">
      <c r="A269">
        <v>135</v>
      </c>
      <c r="B269">
        <v>2.8000000000000001E-2</v>
      </c>
      <c r="C269">
        <v>2.8000000000000001E-2</v>
      </c>
      <c r="D269">
        <v>2.8000000000000001E-2</v>
      </c>
      <c r="E269">
        <v>8.21705426356589E-2</v>
      </c>
      <c r="F269">
        <v>9.0310077519379806E-2</v>
      </c>
      <c r="G269">
        <v>0.102325581395348</v>
      </c>
      <c r="H269">
        <v>4.376E-2</v>
      </c>
      <c r="I269">
        <v>4.376E-2</v>
      </c>
      <c r="J269">
        <v>4.376E-2</v>
      </c>
      <c r="K269">
        <v>41721.800000000003</v>
      </c>
      <c r="L269">
        <v>298.72000000000003</v>
      </c>
      <c r="N269">
        <f t="shared" si="21"/>
        <v>2.8000000000000001E-2</v>
      </c>
      <c r="O269">
        <f t="shared" si="22"/>
        <v>9.1602067183462241E-2</v>
      </c>
      <c r="P269">
        <f t="shared" si="23"/>
        <v>4.376E-2</v>
      </c>
    </row>
    <row r="270" spans="1:16" x14ac:dyDescent="0.3">
      <c r="A270">
        <v>140</v>
      </c>
      <c r="B270">
        <v>2.8000000000000001E-2</v>
      </c>
      <c r="C270">
        <v>2.8000000000000001E-2</v>
      </c>
      <c r="D270">
        <v>2.8000000000000001E-2</v>
      </c>
      <c r="E270">
        <v>9.2635658914728594E-2</v>
      </c>
      <c r="F270">
        <v>9.9224806201550303E-2</v>
      </c>
      <c r="G270">
        <v>9.9999999999999895E-2</v>
      </c>
      <c r="H270">
        <v>4.3372000000000001E-2</v>
      </c>
      <c r="I270">
        <v>4.3372000000000001E-2</v>
      </c>
      <c r="J270">
        <v>4.3372000000000001E-2</v>
      </c>
      <c r="K270">
        <v>32431.1</v>
      </c>
      <c r="L270">
        <v>654.72</v>
      </c>
      <c r="N270">
        <f t="shared" si="21"/>
        <v>2.8000000000000001E-2</v>
      </c>
      <c r="O270">
        <f t="shared" si="22"/>
        <v>9.7286821705426282E-2</v>
      </c>
      <c r="P270">
        <f t="shared" si="23"/>
        <v>4.3372000000000001E-2</v>
      </c>
    </row>
    <row r="271" spans="1:16" x14ac:dyDescent="0.3">
      <c r="A271">
        <v>145</v>
      </c>
      <c r="B271">
        <v>2.8000000000000001E-2</v>
      </c>
      <c r="C271">
        <v>2.8000000000000001E-2</v>
      </c>
      <c r="D271">
        <v>2.8000000000000001E-2</v>
      </c>
      <c r="E271">
        <v>9.5736434108527099E-2</v>
      </c>
      <c r="F271">
        <v>0.100775193798449</v>
      </c>
      <c r="G271">
        <v>8.3333333333333301E-2</v>
      </c>
      <c r="H271">
        <v>3.9496000000000003E-2</v>
      </c>
      <c r="I271">
        <v>3.9496000000000003E-2</v>
      </c>
      <c r="J271">
        <v>3.9496000000000003E-2</v>
      </c>
      <c r="K271">
        <v>40032.699999999997</v>
      </c>
      <c r="L271">
        <v>264.83999999999997</v>
      </c>
      <c r="N271">
        <f t="shared" si="21"/>
        <v>2.8000000000000001E-2</v>
      </c>
      <c r="O271">
        <f t="shared" si="22"/>
        <v>9.3281653746769791E-2</v>
      </c>
      <c r="P271">
        <f t="shared" si="23"/>
        <v>3.9496000000000003E-2</v>
      </c>
    </row>
    <row r="272" spans="1:16" x14ac:dyDescent="0.3">
      <c r="A272">
        <v>150</v>
      </c>
      <c r="B272">
        <v>3.3000000000000002E-2</v>
      </c>
      <c r="C272">
        <v>3.3000000000000002E-2</v>
      </c>
      <c r="D272">
        <v>3.3000000000000002E-2</v>
      </c>
      <c r="E272">
        <v>8.9922480620154996E-2</v>
      </c>
      <c r="F272">
        <v>8.1782945736434104E-2</v>
      </c>
      <c r="G272">
        <v>9.5736434108527099E-2</v>
      </c>
      <c r="H272">
        <v>3.8720999999999998E-2</v>
      </c>
      <c r="I272">
        <v>3.8720999999999998E-2</v>
      </c>
      <c r="J272">
        <v>3.8720999999999998E-2</v>
      </c>
      <c r="K272">
        <v>35241</v>
      </c>
      <c r="L272">
        <v>515.12</v>
      </c>
      <c r="N272">
        <f t="shared" si="21"/>
        <v>3.3000000000000002E-2</v>
      </c>
      <c r="O272">
        <f t="shared" si="22"/>
        <v>8.9147286821705404E-2</v>
      </c>
      <c r="P272">
        <f t="shared" si="23"/>
        <v>3.8720999999999998E-2</v>
      </c>
    </row>
    <row r="273" spans="1:16" x14ac:dyDescent="0.3">
      <c r="A273">
        <v>155</v>
      </c>
      <c r="B273">
        <v>3.3000000000000002E-2</v>
      </c>
      <c r="C273">
        <v>3.3000000000000002E-2</v>
      </c>
      <c r="D273">
        <v>3.3000000000000002E-2</v>
      </c>
      <c r="E273">
        <v>8.3720930232558097E-2</v>
      </c>
      <c r="F273">
        <v>9.4186046511627902E-2</v>
      </c>
      <c r="G273">
        <v>9.1085271317829397E-2</v>
      </c>
      <c r="H273">
        <v>4.3372000000000001E-2</v>
      </c>
      <c r="I273">
        <v>4.3372000000000001E-2</v>
      </c>
      <c r="J273">
        <v>4.3372000000000001E-2</v>
      </c>
      <c r="K273">
        <v>43317</v>
      </c>
      <c r="L273">
        <v>385.89</v>
      </c>
      <c r="N273">
        <f t="shared" si="21"/>
        <v>3.3000000000000002E-2</v>
      </c>
      <c r="O273">
        <f t="shared" si="22"/>
        <v>8.9664082687338456E-2</v>
      </c>
      <c r="P273">
        <f t="shared" si="23"/>
        <v>4.3372000000000001E-2</v>
      </c>
    </row>
    <row r="274" spans="1:16" x14ac:dyDescent="0.3">
      <c r="A274">
        <v>160</v>
      </c>
      <c r="B274">
        <v>0.03</v>
      </c>
      <c r="C274">
        <v>0.03</v>
      </c>
      <c r="D274">
        <v>0.03</v>
      </c>
      <c r="E274">
        <v>8.7209302325581398E-2</v>
      </c>
      <c r="F274">
        <v>9.8449612403100697E-2</v>
      </c>
      <c r="G274">
        <v>0.10658914728682101</v>
      </c>
      <c r="H274">
        <v>4.1821999999999998E-2</v>
      </c>
      <c r="I274">
        <v>4.1821999999999998E-2</v>
      </c>
      <c r="J274">
        <v>4.1821999999999998E-2</v>
      </c>
      <c r="K274">
        <v>38030</v>
      </c>
      <c r="L274">
        <v>378.98</v>
      </c>
      <c r="N274">
        <f t="shared" si="21"/>
        <v>0.03</v>
      </c>
      <c r="O274">
        <f t="shared" si="22"/>
        <v>9.7416020671834372E-2</v>
      </c>
      <c r="P274">
        <f t="shared" si="23"/>
        <v>4.1821999999999998E-2</v>
      </c>
    </row>
    <row r="275" spans="1:16" x14ac:dyDescent="0.3">
      <c r="A275">
        <v>165</v>
      </c>
      <c r="B275">
        <v>2.5999999999999999E-2</v>
      </c>
      <c r="C275">
        <v>2.5999999999999999E-2</v>
      </c>
      <c r="D275">
        <v>2.5999999999999999E-2</v>
      </c>
      <c r="E275">
        <v>9.2248062015503798E-2</v>
      </c>
      <c r="F275">
        <v>9.3023255813953501E-2</v>
      </c>
      <c r="G275">
        <v>9.3798449612402995E-2</v>
      </c>
      <c r="H275">
        <v>4.1047E-2</v>
      </c>
      <c r="I275">
        <v>4.1047E-2</v>
      </c>
      <c r="J275">
        <v>4.1047E-2</v>
      </c>
      <c r="K275">
        <v>41985.7</v>
      </c>
      <c r="L275">
        <v>386.58</v>
      </c>
      <c r="N275">
        <f t="shared" si="21"/>
        <v>2.5999999999999999E-2</v>
      </c>
      <c r="O275">
        <f t="shared" si="22"/>
        <v>9.3023255813953432E-2</v>
      </c>
      <c r="P275">
        <f t="shared" si="23"/>
        <v>4.1047E-2</v>
      </c>
    </row>
    <row r="276" spans="1:16" x14ac:dyDescent="0.3">
      <c r="A276">
        <v>170</v>
      </c>
      <c r="B276">
        <v>2.3E-2</v>
      </c>
      <c r="C276">
        <v>2.3E-2</v>
      </c>
      <c r="D276">
        <v>2.3E-2</v>
      </c>
      <c r="E276">
        <v>9.4186046511627805E-2</v>
      </c>
      <c r="F276">
        <v>9.6511627906976705E-2</v>
      </c>
      <c r="G276">
        <v>8.95348837209302E-2</v>
      </c>
      <c r="H276">
        <v>3.9496000000000003E-2</v>
      </c>
      <c r="I276">
        <v>3.9496000000000003E-2</v>
      </c>
      <c r="J276">
        <v>3.9496000000000003E-2</v>
      </c>
      <c r="K276">
        <v>40981.699999999997</v>
      </c>
      <c r="L276">
        <v>495.11</v>
      </c>
      <c r="N276">
        <f t="shared" si="21"/>
        <v>2.3000000000000003E-2</v>
      </c>
      <c r="O276">
        <f t="shared" si="22"/>
        <v>9.3410852713178241E-2</v>
      </c>
      <c r="P276">
        <f t="shared" si="23"/>
        <v>3.9496000000000003E-2</v>
      </c>
    </row>
    <row r="277" spans="1:16" x14ac:dyDescent="0.3">
      <c r="A277">
        <v>175</v>
      </c>
      <c r="B277">
        <v>2.3E-2</v>
      </c>
      <c r="C277">
        <v>2.3E-2</v>
      </c>
      <c r="D277">
        <v>2.3E-2</v>
      </c>
      <c r="E277">
        <v>9.1472868217054207E-2</v>
      </c>
      <c r="F277">
        <v>8.6434108527131695E-2</v>
      </c>
      <c r="G277">
        <v>9.1472868217054207E-2</v>
      </c>
      <c r="H277">
        <v>3.9884000000000003E-2</v>
      </c>
      <c r="I277">
        <v>3.9884000000000003E-2</v>
      </c>
      <c r="J277">
        <v>3.9884000000000003E-2</v>
      </c>
      <c r="K277">
        <v>44237.599999999999</v>
      </c>
      <c r="L277">
        <v>338.02</v>
      </c>
      <c r="N277">
        <f t="shared" si="21"/>
        <v>2.3000000000000003E-2</v>
      </c>
      <c r="O277">
        <f t="shared" si="22"/>
        <v>8.9793281653746712E-2</v>
      </c>
      <c r="P277">
        <f t="shared" si="23"/>
        <v>3.9884000000000003E-2</v>
      </c>
    </row>
    <row r="278" spans="1:16" x14ac:dyDescent="0.3">
      <c r="A278">
        <v>180</v>
      </c>
      <c r="B278">
        <v>2.8000000000000001E-2</v>
      </c>
      <c r="C278">
        <v>2.8000000000000001E-2</v>
      </c>
      <c r="D278">
        <v>2.8000000000000001E-2</v>
      </c>
      <c r="E278">
        <v>9.3023255813953404E-2</v>
      </c>
      <c r="F278">
        <v>9.4186046511627902E-2</v>
      </c>
      <c r="G278">
        <v>9.3410852713178297E-2</v>
      </c>
      <c r="H278">
        <v>3.8332999999999999E-2</v>
      </c>
      <c r="I278">
        <v>3.8332999999999999E-2</v>
      </c>
      <c r="J278">
        <v>3.8332999999999999E-2</v>
      </c>
      <c r="K278">
        <v>44041.2</v>
      </c>
      <c r="L278">
        <v>629.73</v>
      </c>
      <c r="N278">
        <f t="shared" si="21"/>
        <v>2.8000000000000001E-2</v>
      </c>
      <c r="O278">
        <f t="shared" si="22"/>
        <v>9.3540051679586525E-2</v>
      </c>
      <c r="P278">
        <f t="shared" si="23"/>
        <v>3.8332999999999999E-2</v>
      </c>
    </row>
    <row r="279" spans="1:16" x14ac:dyDescent="0.3">
      <c r="A279">
        <v>185</v>
      </c>
      <c r="B279">
        <v>2.8000000000000001E-2</v>
      </c>
      <c r="C279">
        <v>2.8000000000000001E-2</v>
      </c>
      <c r="D279">
        <v>2.8000000000000001E-2</v>
      </c>
      <c r="E279">
        <v>8.9147286821705404E-2</v>
      </c>
      <c r="F279">
        <v>8.7984496124030906E-2</v>
      </c>
      <c r="G279">
        <v>9.2635658914728594E-2</v>
      </c>
      <c r="H279">
        <v>3.6394999999999997E-2</v>
      </c>
      <c r="I279">
        <v>3.6394999999999997E-2</v>
      </c>
      <c r="J279">
        <v>3.6394999999999997E-2</v>
      </c>
      <c r="K279">
        <v>46369.2</v>
      </c>
      <c r="L279">
        <v>476.62</v>
      </c>
      <c r="N279">
        <f t="shared" si="21"/>
        <v>2.8000000000000001E-2</v>
      </c>
      <c r="O279">
        <f t="shared" si="22"/>
        <v>8.9922480620154968E-2</v>
      </c>
      <c r="P279">
        <f t="shared" si="23"/>
        <v>3.6394999999999997E-2</v>
      </c>
    </row>
    <row r="280" spans="1:16" x14ac:dyDescent="0.3">
      <c r="A280">
        <v>190</v>
      </c>
      <c r="B280">
        <v>2.8000000000000001E-2</v>
      </c>
      <c r="C280">
        <v>2.8000000000000001E-2</v>
      </c>
      <c r="D280">
        <v>2.8000000000000001E-2</v>
      </c>
      <c r="E280">
        <v>0.101162790697674</v>
      </c>
      <c r="F280">
        <v>9.34108527131782E-2</v>
      </c>
      <c r="G280">
        <v>9.4186046511627902E-2</v>
      </c>
      <c r="H280">
        <v>4.0271000000000001E-2</v>
      </c>
      <c r="I280">
        <v>4.0271000000000001E-2</v>
      </c>
      <c r="J280">
        <v>4.0271000000000001E-2</v>
      </c>
      <c r="K280">
        <v>47170.5</v>
      </c>
      <c r="L280">
        <v>793.33</v>
      </c>
      <c r="N280">
        <f t="shared" si="21"/>
        <v>2.8000000000000001E-2</v>
      </c>
      <c r="O280">
        <f t="shared" si="22"/>
        <v>9.625322997416004E-2</v>
      </c>
      <c r="P280">
        <f t="shared" si="23"/>
        <v>4.0271000000000001E-2</v>
      </c>
    </row>
    <row r="281" spans="1:16" x14ac:dyDescent="0.3">
      <c r="A281">
        <v>195</v>
      </c>
      <c r="B281">
        <v>0.03</v>
      </c>
      <c r="C281">
        <v>0.03</v>
      </c>
      <c r="D281">
        <v>0.03</v>
      </c>
      <c r="E281">
        <v>8.7209302325581398E-2</v>
      </c>
      <c r="F281">
        <v>9.2248062015503896E-2</v>
      </c>
      <c r="G281">
        <v>8.5658914728682103E-2</v>
      </c>
      <c r="H281">
        <v>3.7558000000000001E-2</v>
      </c>
      <c r="I281">
        <v>3.7558000000000001E-2</v>
      </c>
      <c r="J281">
        <v>3.7558000000000001E-2</v>
      </c>
      <c r="K281">
        <v>48170.1</v>
      </c>
      <c r="L281">
        <v>464.55</v>
      </c>
      <c r="N281">
        <f t="shared" si="21"/>
        <v>0.03</v>
      </c>
      <c r="O281">
        <f t="shared" si="22"/>
        <v>8.8372093023255785E-2</v>
      </c>
      <c r="P281">
        <f t="shared" si="23"/>
        <v>3.7558000000000001E-2</v>
      </c>
    </row>
    <row r="282" spans="1:16" x14ac:dyDescent="0.3">
      <c r="A282">
        <v>200</v>
      </c>
      <c r="B282">
        <v>2.5999999999999999E-2</v>
      </c>
      <c r="C282">
        <v>2.5999999999999999E-2</v>
      </c>
      <c r="D282">
        <v>2.5999999999999999E-2</v>
      </c>
      <c r="E282">
        <v>8.8759689922480595E-2</v>
      </c>
      <c r="F282">
        <v>8.9922480620154996E-2</v>
      </c>
      <c r="G282">
        <v>9.3410852713178297E-2</v>
      </c>
      <c r="H282">
        <v>3.8332999999999999E-2</v>
      </c>
      <c r="I282">
        <v>3.8332999999999999E-2</v>
      </c>
      <c r="J282">
        <v>3.8332999999999999E-2</v>
      </c>
      <c r="K282">
        <v>41138.699999999997</v>
      </c>
      <c r="L282">
        <v>299.14</v>
      </c>
      <c r="N282">
        <f t="shared" si="21"/>
        <v>2.5999999999999999E-2</v>
      </c>
      <c r="O282">
        <f t="shared" si="22"/>
        <v>9.0697674418604615E-2</v>
      </c>
      <c r="P282">
        <f t="shared" si="23"/>
        <v>3.8332999999999999E-2</v>
      </c>
    </row>
    <row r="283" spans="1:16" x14ac:dyDescent="0.3">
      <c r="A283">
        <v>205</v>
      </c>
      <c r="B283">
        <v>2.5999999999999999E-2</v>
      </c>
      <c r="C283">
        <v>2.5999999999999999E-2</v>
      </c>
      <c r="D283">
        <v>2.5999999999999999E-2</v>
      </c>
      <c r="E283">
        <v>9.4573643410852698E-2</v>
      </c>
      <c r="F283">
        <v>8.1007751937984498E-2</v>
      </c>
      <c r="G283">
        <v>9.1860465116279003E-2</v>
      </c>
      <c r="H283">
        <v>3.5233E-2</v>
      </c>
      <c r="I283">
        <v>3.5233E-2</v>
      </c>
      <c r="J283">
        <v>3.5233E-2</v>
      </c>
      <c r="K283">
        <v>42281.4</v>
      </c>
      <c r="L283">
        <v>412.66</v>
      </c>
      <c r="N283">
        <f t="shared" si="21"/>
        <v>2.5999999999999999E-2</v>
      </c>
      <c r="O283">
        <f t="shared" si="22"/>
        <v>8.9147286821705404E-2</v>
      </c>
      <c r="P283">
        <f t="shared" si="23"/>
        <v>3.5233E-2</v>
      </c>
    </row>
    <row r="284" spans="1:16" x14ac:dyDescent="0.3">
      <c r="A284">
        <v>210</v>
      </c>
      <c r="B284">
        <v>2.5999999999999999E-2</v>
      </c>
      <c r="C284">
        <v>2.5999999999999999E-2</v>
      </c>
      <c r="D284">
        <v>2.5999999999999999E-2</v>
      </c>
      <c r="E284">
        <v>8.95348837209302E-2</v>
      </c>
      <c r="F284">
        <v>8.7984496124030906E-2</v>
      </c>
      <c r="G284">
        <v>8.8759689922480595E-2</v>
      </c>
      <c r="H284">
        <v>3.6783000000000003E-2</v>
      </c>
      <c r="I284">
        <v>3.6783000000000003E-2</v>
      </c>
      <c r="J284">
        <v>3.6783000000000003E-2</v>
      </c>
      <c r="K284">
        <v>43424.800000000003</v>
      </c>
      <c r="L284">
        <v>391.34</v>
      </c>
      <c r="N284">
        <f t="shared" si="21"/>
        <v>2.5999999999999999E-2</v>
      </c>
      <c r="O284">
        <f t="shared" si="22"/>
        <v>8.8759689922480567E-2</v>
      </c>
      <c r="P284">
        <f t="shared" si="23"/>
        <v>3.6783000000000003E-2</v>
      </c>
    </row>
    <row r="285" spans="1:16" x14ac:dyDescent="0.3">
      <c r="A285">
        <v>215</v>
      </c>
      <c r="B285">
        <v>2.8000000000000001E-2</v>
      </c>
      <c r="C285">
        <v>2.8000000000000001E-2</v>
      </c>
      <c r="D285">
        <v>2.8000000000000001E-2</v>
      </c>
      <c r="E285">
        <v>8.95348837209302E-2</v>
      </c>
      <c r="F285">
        <v>8.4108527131782906E-2</v>
      </c>
      <c r="G285">
        <v>8.8372093023255799E-2</v>
      </c>
      <c r="H285">
        <v>3.5619999999999999E-2</v>
      </c>
      <c r="I285">
        <v>3.5619999999999999E-2</v>
      </c>
      <c r="J285">
        <v>3.5619999999999999E-2</v>
      </c>
      <c r="K285">
        <v>44580.2</v>
      </c>
      <c r="L285">
        <v>337.86</v>
      </c>
      <c r="N285">
        <f t="shared" si="21"/>
        <v>2.8000000000000001E-2</v>
      </c>
      <c r="O285">
        <f t="shared" si="22"/>
        <v>8.7338501291989654E-2</v>
      </c>
      <c r="P285">
        <f t="shared" si="23"/>
        <v>3.5619999999999999E-2</v>
      </c>
    </row>
    <row r="286" spans="1:16" x14ac:dyDescent="0.3">
      <c r="A286">
        <v>220</v>
      </c>
      <c r="B286">
        <v>2.5999999999999999E-2</v>
      </c>
      <c r="C286">
        <v>2.5999999999999999E-2</v>
      </c>
      <c r="D286">
        <v>2.5999999999999999E-2</v>
      </c>
      <c r="E286">
        <v>8.6046511627906899E-2</v>
      </c>
      <c r="F286">
        <v>8.0620155038759606E-2</v>
      </c>
      <c r="G286">
        <v>8.4883720930232498E-2</v>
      </c>
      <c r="H286">
        <v>3.4457000000000002E-2</v>
      </c>
      <c r="I286">
        <v>3.4457000000000002E-2</v>
      </c>
      <c r="J286">
        <v>3.4457000000000002E-2</v>
      </c>
      <c r="K286">
        <v>45695.6</v>
      </c>
      <c r="L286">
        <v>515.39</v>
      </c>
      <c r="N286">
        <f t="shared" si="21"/>
        <v>2.5999999999999999E-2</v>
      </c>
      <c r="O286">
        <f t="shared" si="22"/>
        <v>8.3850129198966339E-2</v>
      </c>
      <c r="P286">
        <f t="shared" si="23"/>
        <v>3.4457000000000002E-2</v>
      </c>
    </row>
    <row r="287" spans="1:16" x14ac:dyDescent="0.3">
      <c r="A287">
        <v>225</v>
      </c>
      <c r="B287">
        <v>2.5999999999999999E-2</v>
      </c>
      <c r="C287">
        <v>2.5999999999999999E-2</v>
      </c>
      <c r="D287">
        <v>2.5999999999999999E-2</v>
      </c>
      <c r="E287">
        <v>8.4883720930232498E-2</v>
      </c>
      <c r="F287">
        <v>8.4883720930232498E-2</v>
      </c>
      <c r="G287">
        <v>7.7131782945736402E-2</v>
      </c>
      <c r="H287">
        <v>3.4845000000000001E-2</v>
      </c>
      <c r="I287">
        <v>3.4845000000000001E-2</v>
      </c>
      <c r="J287">
        <v>3.4845000000000001E-2</v>
      </c>
      <c r="K287">
        <v>46933.7</v>
      </c>
      <c r="L287">
        <v>464.67</v>
      </c>
      <c r="N287">
        <f t="shared" si="21"/>
        <v>2.5999999999999999E-2</v>
      </c>
      <c r="O287">
        <f t="shared" si="22"/>
        <v>8.2299741602067142E-2</v>
      </c>
      <c r="P287">
        <f t="shared" si="23"/>
        <v>3.4845000000000001E-2</v>
      </c>
    </row>
    <row r="288" spans="1:16" x14ac:dyDescent="0.3">
      <c r="A288">
        <v>230</v>
      </c>
      <c r="B288">
        <v>2.5999999999999999E-2</v>
      </c>
      <c r="C288">
        <v>2.5999999999999999E-2</v>
      </c>
      <c r="D288">
        <v>2.5999999999999999E-2</v>
      </c>
      <c r="E288">
        <v>8.21705426356589E-2</v>
      </c>
      <c r="F288">
        <v>8.1395348837209294E-2</v>
      </c>
      <c r="G288">
        <v>8.21705426356589E-2</v>
      </c>
      <c r="H288">
        <v>3.3294999999999998E-2</v>
      </c>
      <c r="I288">
        <v>3.3294999999999998E-2</v>
      </c>
      <c r="J288">
        <v>3.3294999999999998E-2</v>
      </c>
      <c r="K288">
        <v>48284.2</v>
      </c>
      <c r="L288">
        <v>428.59</v>
      </c>
      <c r="N288">
        <f t="shared" si="21"/>
        <v>2.5999999999999999E-2</v>
      </c>
      <c r="O288">
        <f t="shared" si="22"/>
        <v>8.1912144702842374E-2</v>
      </c>
      <c r="P288">
        <f t="shared" si="23"/>
        <v>3.3294999999999998E-2</v>
      </c>
    </row>
    <row r="289" spans="1:16" x14ac:dyDescent="0.3">
      <c r="A289">
        <v>235</v>
      </c>
      <c r="B289">
        <v>3.3000000000000002E-2</v>
      </c>
      <c r="C289">
        <v>3.3000000000000002E-2</v>
      </c>
      <c r="D289">
        <v>3.3000000000000002E-2</v>
      </c>
      <c r="E289">
        <v>8.7596899224806193E-2</v>
      </c>
      <c r="F289">
        <v>8.21705426356589E-2</v>
      </c>
      <c r="G289">
        <v>8.3333333333333301E-2</v>
      </c>
      <c r="H289">
        <v>2.9031000000000001E-2</v>
      </c>
      <c r="I289">
        <v>2.9031000000000001E-2</v>
      </c>
      <c r="J289">
        <v>2.9031000000000001E-2</v>
      </c>
      <c r="K289">
        <v>49687.4</v>
      </c>
      <c r="L289">
        <v>425.11</v>
      </c>
      <c r="N289">
        <f t="shared" si="21"/>
        <v>3.3000000000000002E-2</v>
      </c>
      <c r="O289">
        <f t="shared" si="22"/>
        <v>8.4366925064599474E-2</v>
      </c>
      <c r="P289">
        <f t="shared" si="23"/>
        <v>2.9031000000000001E-2</v>
      </c>
    </row>
    <row r="290" spans="1:16" x14ac:dyDescent="0.3">
      <c r="A290">
        <v>240</v>
      </c>
      <c r="B290">
        <v>2.3E-2</v>
      </c>
      <c r="C290">
        <v>2.3E-2</v>
      </c>
      <c r="D290">
        <v>2.3E-2</v>
      </c>
      <c r="E290">
        <v>8.4496124031007702E-2</v>
      </c>
      <c r="F290">
        <v>8.7209302325581398E-2</v>
      </c>
      <c r="G290">
        <v>8.6434108527131695E-2</v>
      </c>
      <c r="H290">
        <v>3.1744000000000001E-2</v>
      </c>
      <c r="I290">
        <v>3.1744000000000001E-2</v>
      </c>
      <c r="J290">
        <v>3.1744000000000001E-2</v>
      </c>
      <c r="K290">
        <v>50829.2</v>
      </c>
      <c r="L290">
        <v>450.94</v>
      </c>
      <c r="N290">
        <f t="shared" si="21"/>
        <v>2.3000000000000003E-2</v>
      </c>
      <c r="O290">
        <f t="shared" si="22"/>
        <v>8.6046511627906927E-2</v>
      </c>
      <c r="P290">
        <f t="shared" si="23"/>
        <v>3.1744000000000001E-2</v>
      </c>
    </row>
    <row r="291" spans="1:16" x14ac:dyDescent="0.3">
      <c r="A291">
        <v>245</v>
      </c>
      <c r="B291">
        <v>0.03</v>
      </c>
      <c r="C291">
        <v>0.03</v>
      </c>
      <c r="D291">
        <v>0.03</v>
      </c>
      <c r="E291">
        <v>8.3720930232558097E-2</v>
      </c>
      <c r="F291">
        <v>8.4108527131782906E-2</v>
      </c>
      <c r="G291">
        <v>7.9457364341085204E-2</v>
      </c>
      <c r="H291">
        <v>3.6007999999999998E-2</v>
      </c>
      <c r="I291">
        <v>3.6007999999999998E-2</v>
      </c>
      <c r="J291">
        <v>3.6007999999999998E-2</v>
      </c>
      <c r="K291">
        <v>51209.3</v>
      </c>
      <c r="L291">
        <v>493.05</v>
      </c>
      <c r="N291">
        <f t="shared" si="21"/>
        <v>0.03</v>
      </c>
      <c r="O291">
        <f t="shared" si="22"/>
        <v>8.2428940568475398E-2</v>
      </c>
      <c r="P291">
        <f t="shared" si="23"/>
        <v>3.6007999999999998E-2</v>
      </c>
    </row>
    <row r="292" spans="1:16" x14ac:dyDescent="0.3">
      <c r="A292">
        <v>250</v>
      </c>
      <c r="B292">
        <v>2.8000000000000001E-2</v>
      </c>
      <c r="C292">
        <v>2.8000000000000001E-2</v>
      </c>
      <c r="D292">
        <v>2.8000000000000001E-2</v>
      </c>
      <c r="E292">
        <v>8.3720930232558097E-2</v>
      </c>
      <c r="F292">
        <v>8.4496124031007702E-2</v>
      </c>
      <c r="G292">
        <v>7.984496124031E-2</v>
      </c>
      <c r="H292">
        <v>3.1357000000000003E-2</v>
      </c>
      <c r="I292">
        <v>3.1357000000000003E-2</v>
      </c>
      <c r="J292">
        <v>3.1357000000000003E-2</v>
      </c>
      <c r="K292">
        <v>50609.8</v>
      </c>
      <c r="L292">
        <v>651.91999999999996</v>
      </c>
      <c r="N292">
        <f t="shared" si="21"/>
        <v>2.8000000000000001E-2</v>
      </c>
      <c r="O292">
        <f t="shared" si="22"/>
        <v>8.2687338501291938E-2</v>
      </c>
      <c r="P292">
        <f t="shared" si="23"/>
        <v>3.1357000000000003E-2</v>
      </c>
    </row>
    <row r="293" spans="1:16" x14ac:dyDescent="0.3">
      <c r="A293">
        <v>255</v>
      </c>
      <c r="B293">
        <v>2.8000000000000001E-2</v>
      </c>
      <c r="C293">
        <v>2.8000000000000001E-2</v>
      </c>
      <c r="D293">
        <v>2.8000000000000001E-2</v>
      </c>
      <c r="E293">
        <v>7.5968992248062001E-2</v>
      </c>
      <c r="F293">
        <v>8.3333333333333301E-2</v>
      </c>
      <c r="G293">
        <v>8.3333333333333301E-2</v>
      </c>
      <c r="H293">
        <v>3.6394999999999997E-2</v>
      </c>
      <c r="I293">
        <v>3.6394999999999997E-2</v>
      </c>
      <c r="J293">
        <v>3.6394999999999997E-2</v>
      </c>
      <c r="K293">
        <v>50553.7</v>
      </c>
      <c r="L293">
        <v>510.41</v>
      </c>
      <c r="N293">
        <f t="shared" si="21"/>
        <v>2.8000000000000001E-2</v>
      </c>
      <c r="O293">
        <f t="shared" si="22"/>
        <v>8.0878552971576201E-2</v>
      </c>
      <c r="P293">
        <f t="shared" si="23"/>
        <v>3.6394999999999997E-2</v>
      </c>
    </row>
    <row r="294" spans="1:16" x14ac:dyDescent="0.3">
      <c r="A294">
        <v>260</v>
      </c>
      <c r="B294">
        <v>2.5999999999999999E-2</v>
      </c>
      <c r="C294">
        <v>2.5999999999999999E-2</v>
      </c>
      <c r="D294">
        <v>2.5999999999999999E-2</v>
      </c>
      <c r="E294">
        <v>8.21705426356589E-2</v>
      </c>
      <c r="F294">
        <v>7.6744186046511606E-2</v>
      </c>
      <c r="G294">
        <v>8.0620155038759703E-2</v>
      </c>
      <c r="H294">
        <v>3.1357000000000003E-2</v>
      </c>
      <c r="I294">
        <v>3.1357000000000003E-2</v>
      </c>
      <c r="J294">
        <v>3.1357000000000003E-2</v>
      </c>
      <c r="K294">
        <v>50610.5</v>
      </c>
      <c r="L294">
        <v>716.39</v>
      </c>
      <c r="N294">
        <f t="shared" si="21"/>
        <v>2.5999999999999999E-2</v>
      </c>
      <c r="O294">
        <f t="shared" si="22"/>
        <v>7.9844961240310056E-2</v>
      </c>
      <c r="P294">
        <f t="shared" si="23"/>
        <v>3.1357000000000003E-2</v>
      </c>
    </row>
    <row r="295" spans="1:16" x14ac:dyDescent="0.3">
      <c r="A295">
        <v>265</v>
      </c>
      <c r="B295">
        <v>2.5999999999999999E-2</v>
      </c>
      <c r="C295">
        <v>2.5999999999999999E-2</v>
      </c>
      <c r="D295">
        <v>2.5999999999999999E-2</v>
      </c>
      <c r="E295">
        <v>8.2945736434108505E-2</v>
      </c>
      <c r="F295">
        <v>8.0620155038759703E-2</v>
      </c>
      <c r="G295">
        <v>7.7906976744185993E-2</v>
      </c>
      <c r="H295">
        <v>3.1357000000000003E-2</v>
      </c>
      <c r="I295">
        <v>3.1357000000000003E-2</v>
      </c>
      <c r="J295">
        <v>3.1357000000000003E-2</v>
      </c>
      <c r="K295">
        <v>43843.1</v>
      </c>
      <c r="L295">
        <v>594.5</v>
      </c>
      <c r="N295">
        <f t="shared" si="21"/>
        <v>2.5999999999999999E-2</v>
      </c>
      <c r="O295">
        <f t="shared" si="22"/>
        <v>8.0490956072351405E-2</v>
      </c>
      <c r="P295">
        <f t="shared" si="23"/>
        <v>3.1357000000000003E-2</v>
      </c>
    </row>
    <row r="296" spans="1:16" x14ac:dyDescent="0.3">
      <c r="A296">
        <v>270</v>
      </c>
      <c r="B296">
        <v>2.5999999999999999E-2</v>
      </c>
      <c r="C296">
        <v>2.5999999999999999E-2</v>
      </c>
      <c r="D296">
        <v>2.5999999999999999E-2</v>
      </c>
      <c r="E296">
        <v>6.9379844961240306E-2</v>
      </c>
      <c r="F296">
        <v>7.5193798449612395E-2</v>
      </c>
      <c r="G296">
        <v>7.1317829457364298E-2</v>
      </c>
      <c r="H296">
        <v>3.0581000000000001E-2</v>
      </c>
      <c r="I296">
        <v>3.0581000000000001E-2</v>
      </c>
      <c r="J296">
        <v>3.0581000000000001E-2</v>
      </c>
      <c r="K296">
        <v>45101.9</v>
      </c>
      <c r="L296">
        <v>546.11</v>
      </c>
      <c r="N296">
        <f t="shared" si="21"/>
        <v>2.5999999999999999E-2</v>
      </c>
      <c r="O296">
        <f t="shared" si="22"/>
        <v>7.1963824289405676E-2</v>
      </c>
      <c r="P296">
        <f t="shared" si="23"/>
        <v>3.0581000000000001E-2</v>
      </c>
    </row>
    <row r="297" spans="1:16" x14ac:dyDescent="0.3">
      <c r="A297">
        <v>275</v>
      </c>
      <c r="B297">
        <v>2.1000000000000001E-2</v>
      </c>
      <c r="C297">
        <v>2.1000000000000001E-2</v>
      </c>
      <c r="D297">
        <v>2.1000000000000001E-2</v>
      </c>
      <c r="E297">
        <v>6.8992248062015496E-2</v>
      </c>
      <c r="F297">
        <v>7.4806201550387599E-2</v>
      </c>
      <c r="G297">
        <v>7.5968992248062001E-2</v>
      </c>
      <c r="H297">
        <v>2.7868E-2</v>
      </c>
      <c r="I297">
        <v>2.7868E-2</v>
      </c>
      <c r="J297">
        <v>2.7868E-2</v>
      </c>
      <c r="K297">
        <v>46391.1</v>
      </c>
      <c r="L297">
        <v>839.2</v>
      </c>
      <c r="N297">
        <f t="shared" si="21"/>
        <v>2.1000000000000001E-2</v>
      </c>
      <c r="O297">
        <f t="shared" si="22"/>
        <v>7.3255813953488361E-2</v>
      </c>
      <c r="P297">
        <f t="shared" si="23"/>
        <v>2.7868E-2</v>
      </c>
    </row>
    <row r="298" spans="1:16" x14ac:dyDescent="0.3">
      <c r="A298">
        <v>280</v>
      </c>
      <c r="B298">
        <v>2.5999999999999999E-2</v>
      </c>
      <c r="C298">
        <v>2.5999999999999999E-2</v>
      </c>
      <c r="D298">
        <v>2.5999999999999999E-2</v>
      </c>
      <c r="E298">
        <v>7.5968992248062001E-2</v>
      </c>
      <c r="F298">
        <v>8.0232558139534796E-2</v>
      </c>
      <c r="G298">
        <v>7.3255813953488305E-2</v>
      </c>
      <c r="H298">
        <v>2.9805999999999999E-2</v>
      </c>
      <c r="I298">
        <v>2.9805999999999999E-2</v>
      </c>
      <c r="J298">
        <v>2.9805999999999999E-2</v>
      </c>
      <c r="K298">
        <v>47488.4</v>
      </c>
      <c r="L298">
        <v>751.42</v>
      </c>
      <c r="N298">
        <f t="shared" si="21"/>
        <v>2.5999999999999999E-2</v>
      </c>
      <c r="O298">
        <f t="shared" si="22"/>
        <v>7.6485788113695038E-2</v>
      </c>
      <c r="P298">
        <f t="shared" si="23"/>
        <v>2.9805999999999999E-2</v>
      </c>
    </row>
    <row r="299" spans="1:16" x14ac:dyDescent="0.3">
      <c r="A299">
        <v>285</v>
      </c>
      <c r="B299">
        <v>2.5999999999999999E-2</v>
      </c>
      <c r="C299">
        <v>2.5999999999999999E-2</v>
      </c>
      <c r="D299">
        <v>2.5999999999999999E-2</v>
      </c>
      <c r="E299">
        <v>7.2868217054263495E-2</v>
      </c>
      <c r="F299">
        <v>7.6356589147286796E-2</v>
      </c>
      <c r="G299">
        <v>7.4031007751937897E-2</v>
      </c>
      <c r="H299">
        <v>2.8642999999999998E-2</v>
      </c>
      <c r="I299">
        <v>2.8642999999999998E-2</v>
      </c>
      <c r="J299">
        <v>2.8642999999999998E-2</v>
      </c>
      <c r="K299">
        <v>48226.8</v>
      </c>
      <c r="L299">
        <v>513.44000000000005</v>
      </c>
      <c r="N299">
        <f t="shared" si="21"/>
        <v>2.5999999999999999E-2</v>
      </c>
      <c r="O299">
        <f t="shared" si="22"/>
        <v>7.4418604651162734E-2</v>
      </c>
      <c r="P299">
        <f t="shared" si="23"/>
        <v>2.8642999999999998E-2</v>
      </c>
    </row>
    <row r="300" spans="1:16" x14ac:dyDescent="0.3">
      <c r="A300">
        <v>290</v>
      </c>
      <c r="B300">
        <v>2.5999999999999999E-2</v>
      </c>
      <c r="C300">
        <v>2.5999999999999999E-2</v>
      </c>
      <c r="D300">
        <v>2.5999999999999999E-2</v>
      </c>
      <c r="E300">
        <v>7.5968992248062001E-2</v>
      </c>
      <c r="F300">
        <v>7.5193798449612395E-2</v>
      </c>
      <c r="G300">
        <v>7.8682170542635599E-2</v>
      </c>
      <c r="H300">
        <v>2.9031000000000001E-2</v>
      </c>
      <c r="I300">
        <v>2.9031000000000001E-2</v>
      </c>
      <c r="J300">
        <v>2.9031000000000001E-2</v>
      </c>
      <c r="K300">
        <v>48970.7</v>
      </c>
      <c r="L300">
        <v>682.53</v>
      </c>
      <c r="N300">
        <f t="shared" si="21"/>
        <v>2.5999999999999999E-2</v>
      </c>
      <c r="O300">
        <f t="shared" si="22"/>
        <v>7.6614987080103336E-2</v>
      </c>
      <c r="P300">
        <f t="shared" si="23"/>
        <v>2.9031000000000001E-2</v>
      </c>
    </row>
    <row r="301" spans="1:16" x14ac:dyDescent="0.3">
      <c r="A301">
        <v>295</v>
      </c>
      <c r="B301">
        <v>2.1000000000000001E-2</v>
      </c>
      <c r="C301">
        <v>2.1000000000000001E-2</v>
      </c>
      <c r="D301">
        <v>2.1000000000000001E-2</v>
      </c>
      <c r="E301">
        <v>6.5503875968992195E-2</v>
      </c>
      <c r="F301">
        <v>7.6744186046511606E-2</v>
      </c>
      <c r="G301">
        <v>7.4418604651162706E-2</v>
      </c>
      <c r="H301">
        <v>3.0193999999999999E-2</v>
      </c>
      <c r="I301">
        <v>3.0193999999999999E-2</v>
      </c>
      <c r="J301">
        <v>3.0193999999999999E-2</v>
      </c>
      <c r="K301">
        <v>50170.7</v>
      </c>
      <c r="L301">
        <v>626.16</v>
      </c>
      <c r="N301">
        <f t="shared" si="21"/>
        <v>2.1000000000000001E-2</v>
      </c>
      <c r="O301">
        <f t="shared" si="22"/>
        <v>7.2222222222222174E-2</v>
      </c>
      <c r="P301">
        <f t="shared" si="23"/>
        <v>3.0193999999999999E-2</v>
      </c>
    </row>
    <row r="302" spans="1:16" x14ac:dyDescent="0.3">
      <c r="A302">
        <v>300</v>
      </c>
      <c r="B302">
        <v>2.5999999999999999E-2</v>
      </c>
      <c r="C302">
        <v>2.5999999999999999E-2</v>
      </c>
      <c r="D302">
        <v>2.5999999999999999E-2</v>
      </c>
      <c r="E302">
        <v>7.2093023255813904E-2</v>
      </c>
      <c r="F302">
        <v>8.0620155038759606E-2</v>
      </c>
      <c r="G302">
        <v>7.24806201550387E-2</v>
      </c>
      <c r="H302">
        <v>2.9419000000000001E-2</v>
      </c>
      <c r="I302">
        <v>2.9419000000000001E-2</v>
      </c>
      <c r="J302">
        <v>2.9419000000000001E-2</v>
      </c>
      <c r="K302">
        <v>51622.2</v>
      </c>
      <c r="L302">
        <v>664.34</v>
      </c>
      <c r="N302">
        <f t="shared" si="21"/>
        <v>2.5999999999999999E-2</v>
      </c>
      <c r="O302">
        <f t="shared" si="22"/>
        <v>7.506459948320407E-2</v>
      </c>
      <c r="P302">
        <f t="shared" si="23"/>
        <v>2.9419000000000001E-2</v>
      </c>
    </row>
    <row r="303" spans="1:16" x14ac:dyDescent="0.3">
      <c r="A303">
        <v>305</v>
      </c>
      <c r="B303">
        <v>2.3E-2</v>
      </c>
      <c r="C303">
        <v>2.3E-2</v>
      </c>
      <c r="D303">
        <v>2.3E-2</v>
      </c>
      <c r="E303">
        <v>6.4341085271317794E-2</v>
      </c>
      <c r="F303">
        <v>7.4031007751937897E-2</v>
      </c>
      <c r="G303">
        <v>7.0155038759689897E-2</v>
      </c>
      <c r="H303">
        <v>2.9805999999999999E-2</v>
      </c>
      <c r="I303">
        <v>2.9805999999999999E-2</v>
      </c>
      <c r="J303">
        <v>2.9805999999999999E-2</v>
      </c>
      <c r="K303">
        <v>51349.599999999999</v>
      </c>
      <c r="L303">
        <v>681.97</v>
      </c>
      <c r="N303">
        <f t="shared" si="21"/>
        <v>2.3000000000000003E-2</v>
      </c>
      <c r="O303">
        <f t="shared" si="22"/>
        <v>6.9509043927648534E-2</v>
      </c>
      <c r="P303">
        <f t="shared" si="23"/>
        <v>2.9805999999999999E-2</v>
      </c>
    </row>
    <row r="304" spans="1:16" x14ac:dyDescent="0.3">
      <c r="A304">
        <v>310</v>
      </c>
      <c r="B304">
        <v>2.1000000000000001E-2</v>
      </c>
      <c r="C304">
        <v>2.1000000000000001E-2</v>
      </c>
      <c r="D304">
        <v>2.1000000000000001E-2</v>
      </c>
      <c r="E304">
        <v>6.3953488372092998E-2</v>
      </c>
      <c r="F304">
        <v>6.6666666666666596E-2</v>
      </c>
      <c r="G304">
        <v>6.9767441860465101E-2</v>
      </c>
      <c r="H304">
        <v>2.7868E-2</v>
      </c>
      <c r="I304">
        <v>2.7868E-2</v>
      </c>
      <c r="J304">
        <v>2.7868E-2</v>
      </c>
      <c r="K304">
        <v>51351.199999999997</v>
      </c>
      <c r="L304">
        <v>687.75</v>
      </c>
      <c r="N304">
        <f t="shared" si="21"/>
        <v>2.1000000000000001E-2</v>
      </c>
      <c r="O304">
        <f t="shared" si="22"/>
        <v>6.6795865633074894E-2</v>
      </c>
      <c r="P304">
        <f t="shared" si="23"/>
        <v>2.7868E-2</v>
      </c>
    </row>
    <row r="305" spans="1:16" x14ac:dyDescent="0.3">
      <c r="A305">
        <v>315</v>
      </c>
      <c r="B305">
        <v>2.1000000000000001E-2</v>
      </c>
      <c r="C305">
        <v>2.1000000000000001E-2</v>
      </c>
      <c r="D305">
        <v>2.1000000000000001E-2</v>
      </c>
      <c r="E305">
        <v>6.7829457364340998E-2</v>
      </c>
      <c r="F305">
        <v>6.6279069767441801E-2</v>
      </c>
      <c r="G305">
        <v>6.8217054263565793E-2</v>
      </c>
      <c r="H305">
        <v>2.5155E-2</v>
      </c>
      <c r="I305">
        <v>2.5155E-2</v>
      </c>
      <c r="J305">
        <v>2.5155E-2</v>
      </c>
      <c r="K305">
        <v>51489.599999999999</v>
      </c>
      <c r="L305">
        <v>750.34</v>
      </c>
      <c r="N305">
        <f t="shared" si="21"/>
        <v>2.1000000000000001E-2</v>
      </c>
      <c r="O305">
        <f t="shared" si="22"/>
        <v>6.7441860465116188E-2</v>
      </c>
      <c r="P305">
        <f t="shared" si="23"/>
        <v>2.5155E-2</v>
      </c>
    </row>
    <row r="306" spans="1:16" x14ac:dyDescent="0.3">
      <c r="A306">
        <v>320</v>
      </c>
      <c r="B306">
        <v>2.1000000000000001E-2</v>
      </c>
      <c r="C306">
        <v>2.1000000000000001E-2</v>
      </c>
      <c r="D306">
        <v>2.1000000000000001E-2</v>
      </c>
      <c r="E306">
        <v>6.6279069767441801E-2</v>
      </c>
      <c r="F306">
        <v>7.3643410852713101E-2</v>
      </c>
      <c r="G306">
        <v>7.3255813953488305E-2</v>
      </c>
      <c r="H306">
        <v>2.5155E-2</v>
      </c>
      <c r="I306">
        <v>2.5155E-2</v>
      </c>
      <c r="J306">
        <v>2.5155E-2</v>
      </c>
      <c r="K306">
        <v>51861.2</v>
      </c>
      <c r="L306">
        <v>709.89</v>
      </c>
      <c r="N306">
        <f t="shared" si="21"/>
        <v>2.1000000000000001E-2</v>
      </c>
      <c r="O306">
        <f t="shared" si="22"/>
        <v>7.1059431524547731E-2</v>
      </c>
      <c r="P306">
        <f t="shared" si="23"/>
        <v>2.5155E-2</v>
      </c>
    </row>
    <row r="307" spans="1:16" x14ac:dyDescent="0.3">
      <c r="A307">
        <v>325</v>
      </c>
      <c r="B307">
        <v>2.3E-2</v>
      </c>
      <c r="C307">
        <v>2.3E-2</v>
      </c>
      <c r="D307">
        <v>2.3E-2</v>
      </c>
      <c r="E307">
        <v>6.86046511627907E-2</v>
      </c>
      <c r="F307">
        <v>6.5116279069767399E-2</v>
      </c>
      <c r="G307">
        <v>5.8139534883720902E-2</v>
      </c>
      <c r="H307">
        <v>2.5930000000000002E-2</v>
      </c>
      <c r="I307">
        <v>2.5930000000000002E-2</v>
      </c>
      <c r="J307">
        <v>2.5930000000000002E-2</v>
      </c>
      <c r="K307">
        <v>52343.199999999997</v>
      </c>
      <c r="L307">
        <v>1542.02</v>
      </c>
      <c r="N307">
        <f t="shared" si="21"/>
        <v>2.3000000000000003E-2</v>
      </c>
      <c r="O307">
        <f t="shared" si="22"/>
        <v>6.3953488372092998E-2</v>
      </c>
      <c r="P307">
        <f t="shared" si="23"/>
        <v>2.5929999999999998E-2</v>
      </c>
    </row>
    <row r="308" spans="1:16" x14ac:dyDescent="0.3">
      <c r="A308">
        <v>330</v>
      </c>
      <c r="B308">
        <v>1.9E-2</v>
      </c>
      <c r="C308">
        <v>1.9E-2</v>
      </c>
      <c r="D308">
        <v>1.9E-2</v>
      </c>
      <c r="E308">
        <v>7.3255813953488305E-2</v>
      </c>
      <c r="F308">
        <v>7.1705426356589094E-2</v>
      </c>
      <c r="G308">
        <v>7.0542635658914707E-2</v>
      </c>
      <c r="H308">
        <v>2.8642999999999998E-2</v>
      </c>
      <c r="I308">
        <v>2.8642999999999998E-2</v>
      </c>
      <c r="J308">
        <v>2.8642999999999998E-2</v>
      </c>
      <c r="K308">
        <v>53570.9</v>
      </c>
      <c r="L308">
        <v>918.02</v>
      </c>
      <c r="N308">
        <f t="shared" si="21"/>
        <v>1.9E-2</v>
      </c>
      <c r="O308">
        <f t="shared" si="22"/>
        <v>7.1834625322997378E-2</v>
      </c>
      <c r="P308">
        <f t="shared" si="23"/>
        <v>2.8642999999999998E-2</v>
      </c>
    </row>
    <row r="309" spans="1:16" x14ac:dyDescent="0.3">
      <c r="A309">
        <v>335</v>
      </c>
      <c r="B309">
        <v>2.5999999999999999E-2</v>
      </c>
      <c r="C309">
        <v>2.5999999999999999E-2</v>
      </c>
      <c r="D309">
        <v>2.5999999999999999E-2</v>
      </c>
      <c r="E309">
        <v>5.9302325581395303E-2</v>
      </c>
      <c r="F309">
        <v>7.0930232558139503E-2</v>
      </c>
      <c r="G309">
        <v>6.8217054263565793E-2</v>
      </c>
      <c r="H309">
        <v>2.3605000000000001E-2</v>
      </c>
      <c r="I309">
        <v>2.3605000000000001E-2</v>
      </c>
      <c r="J309">
        <v>2.3605000000000001E-2</v>
      </c>
      <c r="K309">
        <v>53185.8</v>
      </c>
      <c r="L309">
        <v>1256.5899999999999</v>
      </c>
      <c r="N309">
        <f t="shared" ref="N309:N318" si="24">AVERAGE(B309:D309)</f>
        <v>2.5999999999999999E-2</v>
      </c>
      <c r="O309">
        <f t="shared" ref="O309:O318" si="25">AVERAGE(E309:G309)</f>
        <v>6.6149870801033531E-2</v>
      </c>
      <c r="P309">
        <f t="shared" ref="P309:P318" si="26">AVERAGE(H309:J309)</f>
        <v>2.3605000000000001E-2</v>
      </c>
    </row>
    <row r="310" spans="1:16" x14ac:dyDescent="0.3">
      <c r="A310">
        <v>340</v>
      </c>
      <c r="B310">
        <v>2.3E-2</v>
      </c>
      <c r="C310">
        <v>2.3E-2</v>
      </c>
      <c r="D310">
        <v>2.3E-2</v>
      </c>
      <c r="E310">
        <v>7.1705426356589094E-2</v>
      </c>
      <c r="F310">
        <v>6.5891472868217005E-2</v>
      </c>
      <c r="G310">
        <v>6.7441860465116202E-2</v>
      </c>
      <c r="H310">
        <v>2.7868E-2</v>
      </c>
      <c r="I310">
        <v>2.7868E-2</v>
      </c>
      <c r="J310">
        <v>2.7868E-2</v>
      </c>
      <c r="K310">
        <v>34400</v>
      </c>
      <c r="L310">
        <v>1105.6400000000001</v>
      </c>
      <c r="N310">
        <f t="shared" si="24"/>
        <v>2.3000000000000003E-2</v>
      </c>
      <c r="O310">
        <f t="shared" si="25"/>
        <v>6.8346253229974105E-2</v>
      </c>
      <c r="P310">
        <f t="shared" si="26"/>
        <v>2.7868E-2</v>
      </c>
    </row>
    <row r="311" spans="1:16" x14ac:dyDescent="0.3">
      <c r="A311">
        <v>345</v>
      </c>
      <c r="B311">
        <v>1.9E-2</v>
      </c>
      <c r="C311">
        <v>1.9E-2</v>
      </c>
      <c r="D311">
        <v>1.9E-2</v>
      </c>
      <c r="E311">
        <v>6.7441860465116202E-2</v>
      </c>
      <c r="F311">
        <v>6.8217054263565904E-2</v>
      </c>
      <c r="G311">
        <v>6.5891472868217005E-2</v>
      </c>
      <c r="H311">
        <v>2.7092999999999999E-2</v>
      </c>
      <c r="I311">
        <v>2.7092999999999999E-2</v>
      </c>
      <c r="J311">
        <v>2.7092999999999999E-2</v>
      </c>
      <c r="K311">
        <v>35886.9</v>
      </c>
      <c r="L311">
        <v>1452.16</v>
      </c>
      <c r="N311">
        <f t="shared" si="24"/>
        <v>1.9E-2</v>
      </c>
      <c r="O311">
        <f t="shared" si="25"/>
        <v>6.7183462532299704E-2</v>
      </c>
      <c r="P311">
        <f t="shared" si="26"/>
        <v>2.7092999999999996E-2</v>
      </c>
    </row>
    <row r="312" spans="1:16" x14ac:dyDescent="0.3">
      <c r="A312">
        <v>350</v>
      </c>
      <c r="B312">
        <v>2.3E-2</v>
      </c>
      <c r="C312">
        <v>2.3E-2</v>
      </c>
      <c r="D312">
        <v>2.3E-2</v>
      </c>
      <c r="E312">
        <v>7.1705426356589094E-2</v>
      </c>
      <c r="F312">
        <v>7.3643410852713101E-2</v>
      </c>
      <c r="G312">
        <v>6.6666666666666596E-2</v>
      </c>
      <c r="H312">
        <v>2.7868E-2</v>
      </c>
      <c r="I312">
        <v>2.7868E-2</v>
      </c>
      <c r="J312">
        <v>2.7868E-2</v>
      </c>
      <c r="K312">
        <v>37366.9</v>
      </c>
      <c r="L312">
        <v>1163.8</v>
      </c>
      <c r="N312">
        <f t="shared" si="24"/>
        <v>2.3000000000000003E-2</v>
      </c>
      <c r="O312">
        <f t="shared" si="25"/>
        <v>7.0671834625322935E-2</v>
      </c>
      <c r="P312">
        <f t="shared" si="26"/>
        <v>2.7868E-2</v>
      </c>
    </row>
    <row r="313" spans="1:16" x14ac:dyDescent="0.3">
      <c r="A313">
        <v>355</v>
      </c>
      <c r="B313">
        <v>1.9E-2</v>
      </c>
      <c r="C313">
        <v>1.9E-2</v>
      </c>
      <c r="D313">
        <v>1.9E-2</v>
      </c>
      <c r="E313">
        <v>6.5891472868217005E-2</v>
      </c>
      <c r="F313">
        <v>6.5503875968992195E-2</v>
      </c>
      <c r="G313">
        <v>6.8992248062015496E-2</v>
      </c>
      <c r="H313">
        <v>2.4767000000000001E-2</v>
      </c>
      <c r="I313">
        <v>2.4767000000000001E-2</v>
      </c>
      <c r="J313">
        <v>2.4767000000000001E-2</v>
      </c>
      <c r="K313">
        <v>54099.5</v>
      </c>
      <c r="L313">
        <v>1775.14</v>
      </c>
      <c r="N313">
        <f t="shared" si="24"/>
        <v>1.9E-2</v>
      </c>
      <c r="O313">
        <f t="shared" si="25"/>
        <v>6.6795865633074894E-2</v>
      </c>
      <c r="P313">
        <f t="shared" si="26"/>
        <v>2.4767000000000001E-2</v>
      </c>
    </row>
    <row r="314" spans="1:16" x14ac:dyDescent="0.3">
      <c r="A314">
        <v>360</v>
      </c>
      <c r="B314">
        <v>2.1000000000000001E-2</v>
      </c>
      <c r="C314">
        <v>2.1000000000000001E-2</v>
      </c>
      <c r="D314">
        <v>2.1000000000000001E-2</v>
      </c>
      <c r="E314">
        <v>7.1317829457364298E-2</v>
      </c>
      <c r="F314">
        <v>7.2868217054263495E-2</v>
      </c>
      <c r="G314">
        <v>7.1705426356589094E-2</v>
      </c>
      <c r="H314">
        <v>2.5543E-2</v>
      </c>
      <c r="I314">
        <v>2.5543E-2</v>
      </c>
      <c r="J314">
        <v>2.5543E-2</v>
      </c>
      <c r="K314">
        <v>54038.400000000001</v>
      </c>
      <c r="L314">
        <v>1327.52</v>
      </c>
      <c r="N314">
        <f t="shared" si="24"/>
        <v>2.1000000000000001E-2</v>
      </c>
      <c r="O314">
        <f t="shared" si="25"/>
        <v>7.1963824289405634E-2</v>
      </c>
      <c r="P314">
        <f t="shared" si="26"/>
        <v>2.5543E-2</v>
      </c>
    </row>
    <row r="315" spans="1:16" x14ac:dyDescent="0.3">
      <c r="A315">
        <v>365</v>
      </c>
      <c r="B315">
        <v>2.3E-2</v>
      </c>
      <c r="C315">
        <v>2.3E-2</v>
      </c>
      <c r="D315">
        <v>2.3E-2</v>
      </c>
      <c r="E315">
        <v>6.4341085271317794E-2</v>
      </c>
      <c r="F315">
        <v>6.3953488372092998E-2</v>
      </c>
      <c r="G315">
        <v>6.86046511627907E-2</v>
      </c>
      <c r="H315">
        <v>2.7092999999999999E-2</v>
      </c>
      <c r="I315">
        <v>2.7092999999999999E-2</v>
      </c>
      <c r="J315">
        <v>2.7092999999999999E-2</v>
      </c>
      <c r="K315">
        <v>54386.3</v>
      </c>
      <c r="L315">
        <v>1473.11</v>
      </c>
      <c r="N315">
        <f t="shared" si="24"/>
        <v>2.3000000000000003E-2</v>
      </c>
      <c r="O315">
        <f t="shared" si="25"/>
        <v>6.5633074935400493E-2</v>
      </c>
      <c r="P315">
        <f t="shared" si="26"/>
        <v>2.7092999999999996E-2</v>
      </c>
    </row>
    <row r="316" spans="1:16" x14ac:dyDescent="0.3">
      <c r="A316">
        <v>370</v>
      </c>
      <c r="B316">
        <v>2.5999999999999999E-2</v>
      </c>
      <c r="C316">
        <v>2.5999999999999999E-2</v>
      </c>
      <c r="D316">
        <v>2.5999999999999999E-2</v>
      </c>
      <c r="E316">
        <v>6.9379844961240306E-2</v>
      </c>
      <c r="F316">
        <v>6.8217054263565793E-2</v>
      </c>
      <c r="G316">
        <v>7.7906976744185993E-2</v>
      </c>
      <c r="H316">
        <v>2.5155E-2</v>
      </c>
      <c r="I316">
        <v>2.5155E-2</v>
      </c>
      <c r="J316">
        <v>2.5155E-2</v>
      </c>
      <c r="K316">
        <v>54933.4</v>
      </c>
      <c r="L316">
        <v>1416.92</v>
      </c>
      <c r="N316">
        <f t="shared" si="24"/>
        <v>2.5999999999999999E-2</v>
      </c>
      <c r="O316">
        <f t="shared" si="25"/>
        <v>7.1834625322997378E-2</v>
      </c>
      <c r="P316">
        <f t="shared" si="26"/>
        <v>2.5155E-2</v>
      </c>
    </row>
    <row r="317" spans="1:16" x14ac:dyDescent="0.3">
      <c r="A317">
        <v>375</v>
      </c>
      <c r="B317">
        <v>2.1000000000000001E-2</v>
      </c>
      <c r="C317">
        <v>2.1000000000000001E-2</v>
      </c>
      <c r="D317">
        <v>2.1000000000000001E-2</v>
      </c>
      <c r="E317">
        <v>7.0155038759689897E-2</v>
      </c>
      <c r="F317">
        <v>5.9302325581395303E-2</v>
      </c>
      <c r="G317">
        <v>6.7441860465116202E-2</v>
      </c>
      <c r="H317">
        <v>2.4379999999999999E-2</v>
      </c>
      <c r="I317">
        <v>2.4379999999999999E-2</v>
      </c>
      <c r="J317">
        <v>2.4379999999999999E-2</v>
      </c>
      <c r="K317">
        <v>54255.1</v>
      </c>
      <c r="L317">
        <v>1648.84</v>
      </c>
      <c r="N317">
        <f t="shared" si="24"/>
        <v>2.1000000000000001E-2</v>
      </c>
      <c r="O317">
        <f t="shared" si="25"/>
        <v>6.5633074935400479E-2</v>
      </c>
      <c r="P317">
        <f t="shared" si="26"/>
        <v>2.4379999999999999E-2</v>
      </c>
    </row>
    <row r="318" spans="1:16" x14ac:dyDescent="0.3">
      <c r="A318">
        <v>380</v>
      </c>
      <c r="B318">
        <v>1.9E-2</v>
      </c>
      <c r="C318">
        <v>1.9E-2</v>
      </c>
      <c r="D318">
        <v>1.9E-2</v>
      </c>
      <c r="E318">
        <v>6.3953488372092998E-2</v>
      </c>
      <c r="F318">
        <v>6.1627906976744098E-2</v>
      </c>
      <c r="G318">
        <v>6.5503875968992195E-2</v>
      </c>
      <c r="H318">
        <v>2.3217000000000002E-2</v>
      </c>
      <c r="I318">
        <v>2.3217000000000002E-2</v>
      </c>
      <c r="J318">
        <v>2.3217000000000002E-2</v>
      </c>
      <c r="K318">
        <v>41874.800000000003</v>
      </c>
      <c r="L318">
        <v>2363.11</v>
      </c>
      <c r="N318">
        <f t="shared" si="24"/>
        <v>1.9E-2</v>
      </c>
      <c r="O318">
        <f t="shared" si="25"/>
        <v>6.3695090439276444E-2</v>
      </c>
      <c r="P318">
        <f t="shared" si="26"/>
        <v>2.3217000000000002E-2</v>
      </c>
    </row>
    <row r="321" spans="1:13" x14ac:dyDescent="0.3">
      <c r="A321" t="s">
        <v>85</v>
      </c>
    </row>
    <row r="322" spans="1:13" x14ac:dyDescent="0.3">
      <c r="A322">
        <v>10</v>
      </c>
      <c r="B322" t="s">
        <v>126</v>
      </c>
      <c r="C322" t="s">
        <v>99</v>
      </c>
      <c r="D322" t="s">
        <v>100</v>
      </c>
      <c r="E322" t="s">
        <v>129</v>
      </c>
      <c r="F322" t="s">
        <v>108</v>
      </c>
      <c r="G322" t="s">
        <v>109</v>
      </c>
      <c r="H322" t="s">
        <v>132</v>
      </c>
      <c r="I322" t="s">
        <v>115</v>
      </c>
      <c r="J322" t="s">
        <v>116</v>
      </c>
      <c r="K322" t="s">
        <v>134</v>
      </c>
      <c r="L322" t="s">
        <v>122</v>
      </c>
      <c r="M322" t="s">
        <v>123</v>
      </c>
    </row>
    <row r="323" spans="1:13" x14ac:dyDescent="0.3">
      <c r="A323">
        <v>15</v>
      </c>
      <c r="B323">
        <v>4.2666666666666665E-2</v>
      </c>
      <c r="C323">
        <v>0.16281628162816233</v>
      </c>
      <c r="D323">
        <v>2.4251999999999999E-2</v>
      </c>
      <c r="E323">
        <v>3.3333333333333333E-2</v>
      </c>
      <c r="F323">
        <v>0.13349917081260301</v>
      </c>
      <c r="G323">
        <v>4.0655333333333328E-2</v>
      </c>
      <c r="H323">
        <v>1.5666666666666666E-2</v>
      </c>
      <c r="I323">
        <v>9.7452934662236645E-2</v>
      </c>
      <c r="J323">
        <v>4.6897666666666671E-2</v>
      </c>
      <c r="K323">
        <v>3.6999999999999998E-2</v>
      </c>
      <c r="L323">
        <v>9.2894056847545037E-2</v>
      </c>
      <c r="M323">
        <v>6.5464999999999995E-2</v>
      </c>
    </row>
    <row r="324" spans="1:13" x14ac:dyDescent="0.3">
      <c r="A324">
        <v>20</v>
      </c>
      <c r="B324">
        <v>0.03</v>
      </c>
      <c r="C324">
        <v>0.26677667766776603</v>
      </c>
      <c r="D324">
        <v>1.7101000000000002E-2</v>
      </c>
      <c r="E324">
        <v>1.8333333333333337E-2</v>
      </c>
      <c r="F324">
        <v>0.16860143725815332</v>
      </c>
      <c r="G324">
        <v>3.2086999999999997E-2</v>
      </c>
      <c r="H324">
        <v>2.5666666666666667E-2</v>
      </c>
      <c r="I324">
        <v>0.1133259505352525</v>
      </c>
      <c r="J324">
        <v>4.4682333333333331E-2</v>
      </c>
      <c r="K324">
        <v>2.1000000000000001E-2</v>
      </c>
      <c r="L324">
        <v>9.4186046511627874E-2</v>
      </c>
      <c r="M324">
        <v>7.0503999999999997E-2</v>
      </c>
    </row>
    <row r="325" spans="1:13" x14ac:dyDescent="0.3">
      <c r="A325">
        <v>25</v>
      </c>
      <c r="B325">
        <v>4.3333333333333335E-2</v>
      </c>
      <c r="C325">
        <v>0.33608360836083567</v>
      </c>
      <c r="D325">
        <v>1.8751333333333332E-2</v>
      </c>
      <c r="E325">
        <v>4.3333333333333335E-2</v>
      </c>
      <c r="F325">
        <v>0.23493642896627934</v>
      </c>
      <c r="G325">
        <v>4.7849666666666672E-2</v>
      </c>
      <c r="H325">
        <v>0.04</v>
      </c>
      <c r="I325">
        <v>0.14931709117755568</v>
      </c>
      <c r="J325">
        <v>4.6712666666666659E-2</v>
      </c>
      <c r="K325">
        <v>3.3000000000000002E-2</v>
      </c>
      <c r="L325">
        <v>0.12157622739018033</v>
      </c>
      <c r="M325">
        <v>6.8953E-2</v>
      </c>
    </row>
    <row r="326" spans="1:13" x14ac:dyDescent="0.3">
      <c r="A326">
        <v>30</v>
      </c>
      <c r="B326">
        <v>2.6666666666666668E-2</v>
      </c>
      <c r="C326">
        <v>0.25467546754675402</v>
      </c>
      <c r="D326">
        <v>1.6567666666666665E-2</v>
      </c>
      <c r="E326">
        <v>0.03</v>
      </c>
      <c r="F326">
        <v>0.29850746268656669</v>
      </c>
      <c r="G326">
        <v>4.3695333333333336E-2</v>
      </c>
      <c r="H326">
        <v>3.3666666666666671E-2</v>
      </c>
      <c r="I326">
        <v>0.16629752676264264</v>
      </c>
      <c r="J326">
        <v>3.9883666666666664E-2</v>
      </c>
      <c r="K326">
        <v>0.04</v>
      </c>
      <c r="L326">
        <v>0.14328165374676968</v>
      </c>
      <c r="M326">
        <v>7.3992000000000002E-2</v>
      </c>
    </row>
    <row r="327" spans="1:13" x14ac:dyDescent="0.3">
      <c r="A327">
        <v>35</v>
      </c>
      <c r="B327">
        <v>4.9666666666666671E-2</v>
      </c>
      <c r="C327">
        <v>0.32453245324532398</v>
      </c>
      <c r="D327">
        <v>2.5351666666666665E-2</v>
      </c>
      <c r="E327">
        <v>4.3333333333333335E-2</v>
      </c>
      <c r="F327">
        <v>0.29270315091210564</v>
      </c>
      <c r="G327">
        <v>4.9499999999999995E-2</v>
      </c>
      <c r="H327">
        <v>3.9E-2</v>
      </c>
      <c r="I327">
        <v>0.19915097822074534</v>
      </c>
      <c r="J327">
        <v>4.9112333333333334E-2</v>
      </c>
      <c r="K327">
        <v>2.8000000000000001E-2</v>
      </c>
      <c r="L327">
        <v>0.15671834625322933</v>
      </c>
      <c r="M327">
        <v>6.9728999999999999E-2</v>
      </c>
    </row>
    <row r="328" spans="1:13" x14ac:dyDescent="0.3">
      <c r="A328">
        <v>40</v>
      </c>
      <c r="B328">
        <v>4.9666666666666671E-2</v>
      </c>
      <c r="C328">
        <v>0.22112211221122066</v>
      </c>
      <c r="D328">
        <v>3.2502666666666673E-2</v>
      </c>
      <c r="E328">
        <v>4.8333333333333339E-2</v>
      </c>
      <c r="F328">
        <v>0.24018794914317232</v>
      </c>
      <c r="G328">
        <v>5.1434333333333332E-2</v>
      </c>
      <c r="H328">
        <v>5.6333333333333339E-2</v>
      </c>
      <c r="I328">
        <v>0.17681801402731601</v>
      </c>
      <c r="J328">
        <v>4.3021666666666659E-2</v>
      </c>
      <c r="K328">
        <v>3.3000000000000002E-2</v>
      </c>
      <c r="L328">
        <v>0.153617571059431</v>
      </c>
      <c r="M328">
        <v>6.1976999999999997E-2</v>
      </c>
    </row>
    <row r="329" spans="1:13" x14ac:dyDescent="0.3">
      <c r="A329">
        <v>45</v>
      </c>
      <c r="B329">
        <v>5.9333333333333328E-2</v>
      </c>
      <c r="C329">
        <v>0.211221122112211</v>
      </c>
      <c r="D329">
        <v>2.9752333333333335E-2</v>
      </c>
      <c r="E329">
        <v>5.3333333333333337E-2</v>
      </c>
      <c r="F329">
        <v>0.278330569375345</v>
      </c>
      <c r="G329">
        <v>5.9173666666666659E-2</v>
      </c>
      <c r="H329">
        <v>6.533333333333334E-2</v>
      </c>
      <c r="I329">
        <v>0.18235511258767001</v>
      </c>
      <c r="J329">
        <v>4.7635666666666666E-2</v>
      </c>
      <c r="K329">
        <v>0.03</v>
      </c>
      <c r="L329">
        <v>0.15684754521963765</v>
      </c>
      <c r="M329">
        <v>6.3140000000000002E-2</v>
      </c>
    </row>
    <row r="330" spans="1:13" x14ac:dyDescent="0.3">
      <c r="A330">
        <v>50</v>
      </c>
      <c r="B330">
        <v>4.6333333333333337E-2</v>
      </c>
      <c r="C330">
        <v>0.22167216721672134</v>
      </c>
      <c r="D330">
        <v>2.810233333333333E-2</v>
      </c>
      <c r="E330">
        <v>5.6666666666666664E-2</v>
      </c>
      <c r="F330">
        <v>0.22415699281370868</v>
      </c>
      <c r="G330">
        <v>5.5303999999999999E-2</v>
      </c>
      <c r="H330">
        <v>3.6333333333333336E-2</v>
      </c>
      <c r="I330">
        <v>0.19102990033222533</v>
      </c>
      <c r="J330">
        <v>4.9296666666666662E-2</v>
      </c>
      <c r="K330">
        <v>0.04</v>
      </c>
      <c r="L330">
        <v>0.14741602067183399</v>
      </c>
      <c r="M330">
        <v>6.5077999999999997E-2</v>
      </c>
    </row>
    <row r="331" spans="1:13" x14ac:dyDescent="0.3">
      <c r="A331">
        <v>55</v>
      </c>
      <c r="B331">
        <v>5.9333333333333342E-2</v>
      </c>
      <c r="C331">
        <v>0.19856985698569798</v>
      </c>
      <c r="D331">
        <v>3.2536000000000002E-2</v>
      </c>
      <c r="E331">
        <v>3.5000000000000003E-2</v>
      </c>
      <c r="F331">
        <v>0.20923161967938067</v>
      </c>
      <c r="G331">
        <v>4.2866333333333333E-2</v>
      </c>
      <c r="H331">
        <v>3.5333333333333335E-2</v>
      </c>
      <c r="I331">
        <v>0.17607973421926867</v>
      </c>
      <c r="J331">
        <v>4.9481333333333329E-2</v>
      </c>
      <c r="K331">
        <v>3.3000000000000002E-2</v>
      </c>
      <c r="L331">
        <v>0.12441860465116232</v>
      </c>
      <c r="M331">
        <v>5.9651000000000003E-2</v>
      </c>
    </row>
    <row r="332" spans="1:13" x14ac:dyDescent="0.3">
      <c r="A332">
        <v>60</v>
      </c>
      <c r="B332">
        <v>5.6333333333333326E-2</v>
      </c>
      <c r="C332">
        <v>0.16006600660065964</v>
      </c>
      <c r="D332">
        <v>3.4152999999999996E-2</v>
      </c>
      <c r="E332">
        <v>0.03</v>
      </c>
      <c r="F332">
        <v>0.15948037589828568</v>
      </c>
      <c r="G332">
        <v>4.618266666666667E-2</v>
      </c>
      <c r="H332">
        <v>3.7666666666666661E-2</v>
      </c>
      <c r="I332">
        <v>0.19102990033222533</v>
      </c>
      <c r="J332">
        <v>4.1175666666666666E-2</v>
      </c>
      <c r="K332">
        <v>3.6999999999999998E-2</v>
      </c>
      <c r="L332">
        <v>0.14638242894056833</v>
      </c>
      <c r="M332">
        <v>6.3915E-2</v>
      </c>
    </row>
    <row r="333" spans="1:13" x14ac:dyDescent="0.3">
      <c r="A333">
        <v>65</v>
      </c>
      <c r="B333">
        <v>6.2666666666666662E-2</v>
      </c>
      <c r="C333">
        <v>0.14631463146314566</v>
      </c>
      <c r="D333">
        <v>3.0852666666666667E-2</v>
      </c>
      <c r="E333">
        <v>3.6666666666666674E-2</v>
      </c>
      <c r="F333">
        <v>0.22802653399668268</v>
      </c>
      <c r="G333">
        <v>4.6735666666666655E-2</v>
      </c>
      <c r="H333">
        <v>3.3333333333333333E-2</v>
      </c>
      <c r="I333">
        <v>0.18973791066814302</v>
      </c>
      <c r="J333">
        <v>4.7266333333333334E-2</v>
      </c>
      <c r="K333">
        <v>2.8000000000000001E-2</v>
      </c>
      <c r="L333">
        <v>0.140568475452196</v>
      </c>
      <c r="M333">
        <v>6.1201999999999999E-2</v>
      </c>
    </row>
    <row r="334" spans="1:13" x14ac:dyDescent="0.3">
      <c r="A334">
        <v>70</v>
      </c>
      <c r="B334">
        <v>6.2666666666666662E-2</v>
      </c>
      <c r="C334">
        <v>0.16941694169416865</v>
      </c>
      <c r="D334">
        <v>3.526933333333334E-2</v>
      </c>
      <c r="E334">
        <v>2.8333333333333335E-2</v>
      </c>
      <c r="F334">
        <v>0.22636815920397935</v>
      </c>
      <c r="G334">
        <v>4.0931666666666665E-2</v>
      </c>
      <c r="H334">
        <v>3.1E-2</v>
      </c>
      <c r="I334">
        <v>0.19269102990033202</v>
      </c>
      <c r="J334">
        <v>4.4498000000000003E-2</v>
      </c>
      <c r="K334">
        <v>2.5999999999999999E-2</v>
      </c>
      <c r="L334">
        <v>0.13759689922480567</v>
      </c>
      <c r="M334">
        <v>5.7326000000000009E-2</v>
      </c>
    </row>
    <row r="335" spans="1:13" x14ac:dyDescent="0.3">
      <c r="A335">
        <v>75</v>
      </c>
      <c r="B335">
        <v>0.11233333333333334</v>
      </c>
      <c r="C335">
        <v>0.19251925192519201</v>
      </c>
      <c r="D335">
        <v>3.1953000000000002E-2</v>
      </c>
      <c r="E335">
        <v>3.6666666666666667E-2</v>
      </c>
      <c r="F335">
        <v>0.19928137092316167</v>
      </c>
      <c r="G335">
        <v>4.9223333333333341E-2</v>
      </c>
      <c r="H335">
        <v>0.03</v>
      </c>
      <c r="I335">
        <v>0.20358065706902864</v>
      </c>
      <c r="J335">
        <v>4.6343666666666672E-2</v>
      </c>
      <c r="K335">
        <v>2.8000000000000001E-2</v>
      </c>
      <c r="L335">
        <v>0.14974160206718298</v>
      </c>
      <c r="M335">
        <v>6.2364000000000003E-2</v>
      </c>
    </row>
    <row r="336" spans="1:13" x14ac:dyDescent="0.3">
      <c r="A336">
        <v>80</v>
      </c>
      <c r="B336">
        <v>0.15500000000000003</v>
      </c>
      <c r="C336">
        <v>0.24257425742574198</v>
      </c>
      <c r="D336">
        <v>5.1204666666666669E-2</v>
      </c>
      <c r="E336">
        <v>3.1666666666666669E-2</v>
      </c>
      <c r="F336">
        <v>0.18325041459369731</v>
      </c>
      <c r="G336">
        <v>5.6685999999999993E-2</v>
      </c>
      <c r="H336">
        <v>2.7666666666666669E-2</v>
      </c>
      <c r="I336">
        <v>0.20394979697305235</v>
      </c>
      <c r="J336">
        <v>3.8591666666666663E-2</v>
      </c>
      <c r="K336">
        <v>2.8000000000000001E-2</v>
      </c>
      <c r="L336">
        <v>0.14147286821705399</v>
      </c>
      <c r="M336">
        <v>5.655000000000001E-2</v>
      </c>
    </row>
    <row r="337" spans="1:13" x14ac:dyDescent="0.3">
      <c r="A337">
        <v>85</v>
      </c>
      <c r="B337">
        <v>0.16800000000000001</v>
      </c>
      <c r="C337">
        <v>0.24807480748074764</v>
      </c>
      <c r="D337">
        <v>4.4603999999999998E-2</v>
      </c>
      <c r="E337">
        <v>3.6666666666666667E-2</v>
      </c>
      <c r="F337">
        <v>0.19264787175234899</v>
      </c>
      <c r="G337">
        <v>5.5027333333333324E-2</v>
      </c>
      <c r="H337">
        <v>2.7999999999999997E-2</v>
      </c>
      <c r="I337">
        <v>0.19915097822074534</v>
      </c>
      <c r="J337">
        <v>4.5235999999999998E-2</v>
      </c>
      <c r="K337">
        <v>0.03</v>
      </c>
      <c r="L337">
        <v>0.13901808785529665</v>
      </c>
      <c r="M337">
        <v>5.1512000000000002E-2</v>
      </c>
    </row>
    <row r="338" spans="1:13" x14ac:dyDescent="0.3">
      <c r="A338">
        <v>90</v>
      </c>
      <c r="B338">
        <v>0.21133333333333329</v>
      </c>
      <c r="C338">
        <v>0.26182618261826129</v>
      </c>
      <c r="D338">
        <v>6.4956E-2</v>
      </c>
      <c r="E338">
        <v>0.04</v>
      </c>
      <c r="F338">
        <v>0.16832504145936933</v>
      </c>
      <c r="G338">
        <v>6.3043000000000002E-2</v>
      </c>
      <c r="H338">
        <v>2.7999999999999997E-2</v>
      </c>
      <c r="I338">
        <v>0.174787744555186</v>
      </c>
      <c r="J338">
        <v>3.8037999999999995E-2</v>
      </c>
      <c r="K338">
        <v>2.5999999999999999E-2</v>
      </c>
      <c r="L338">
        <v>0.13087855297157566</v>
      </c>
      <c r="M338">
        <v>4.9186000000000001E-2</v>
      </c>
    </row>
    <row r="339" spans="1:13" x14ac:dyDescent="0.3">
      <c r="A339">
        <v>95</v>
      </c>
      <c r="B339">
        <v>0.20800000000000005</v>
      </c>
      <c r="C339">
        <v>0.25962596259625903</v>
      </c>
      <c r="D339">
        <v>4.7354333333333332E-2</v>
      </c>
      <c r="E339">
        <v>3.8333333333333337E-2</v>
      </c>
      <c r="F339">
        <v>0.19375345494748433</v>
      </c>
      <c r="G339">
        <v>5.6685999999999993E-2</v>
      </c>
      <c r="H339">
        <v>2.6666666666666668E-2</v>
      </c>
      <c r="I339">
        <v>0.18327796234772933</v>
      </c>
      <c r="J339">
        <v>3.9145333333333331E-2</v>
      </c>
      <c r="K339">
        <v>2.8000000000000001E-2</v>
      </c>
      <c r="L339">
        <v>0.11770025839793201</v>
      </c>
      <c r="M339">
        <v>5.3449999999999998E-2</v>
      </c>
    </row>
    <row r="340" spans="1:13" x14ac:dyDescent="0.3">
      <c r="A340">
        <v>100</v>
      </c>
      <c r="B340">
        <v>0.25733333333333336</v>
      </c>
      <c r="C340">
        <v>0.27557755775577503</v>
      </c>
      <c r="D340">
        <v>5.4504999999999998E-2</v>
      </c>
      <c r="E340">
        <v>5.6666666666666671E-2</v>
      </c>
      <c r="F340">
        <v>0.20425649530127066</v>
      </c>
      <c r="G340">
        <v>5.9450000000000003E-2</v>
      </c>
      <c r="H340">
        <v>3.3333333333333333E-2</v>
      </c>
      <c r="I340">
        <v>0.19619785898855632</v>
      </c>
      <c r="J340">
        <v>4.1545000000000006E-2</v>
      </c>
      <c r="K340">
        <v>2.8000000000000001E-2</v>
      </c>
      <c r="L340">
        <v>0.11873385012919835</v>
      </c>
      <c r="M340">
        <v>4.9186000000000001E-2</v>
      </c>
    </row>
    <row r="341" spans="1:13" x14ac:dyDescent="0.3">
      <c r="A341">
        <v>105</v>
      </c>
      <c r="B341">
        <v>0.28699999999999998</v>
      </c>
      <c r="C341">
        <v>0.29592959295929533</v>
      </c>
      <c r="D341">
        <v>6.2755666666666668E-2</v>
      </c>
      <c r="E341">
        <v>8.3333333333333329E-2</v>
      </c>
      <c r="F341">
        <v>0.18656716417910402</v>
      </c>
      <c r="G341">
        <v>6.1661000000000001E-2</v>
      </c>
      <c r="H341">
        <v>3.1E-2</v>
      </c>
      <c r="I341">
        <v>0.18807678110003634</v>
      </c>
      <c r="J341">
        <v>3.3977333333333332E-2</v>
      </c>
      <c r="K341">
        <v>0.03</v>
      </c>
      <c r="L341">
        <v>0.11498708010335867</v>
      </c>
      <c r="M341">
        <v>5.0348999999999998E-2</v>
      </c>
    </row>
    <row r="342" spans="1:13" x14ac:dyDescent="0.3">
      <c r="A342">
        <v>110</v>
      </c>
      <c r="B342">
        <v>0.307</v>
      </c>
      <c r="C342">
        <v>0.33003300330032936</v>
      </c>
      <c r="D342">
        <v>8.4208000000000005E-2</v>
      </c>
      <c r="E342">
        <v>8.8333333333333333E-2</v>
      </c>
      <c r="F342">
        <v>0.20011055831951333</v>
      </c>
      <c r="G342">
        <v>6.3872333333333337E-2</v>
      </c>
      <c r="H342">
        <v>3.4333333333333334E-2</v>
      </c>
      <c r="I342">
        <v>0.19232188999630798</v>
      </c>
      <c r="J342">
        <v>3.9330000000000004E-2</v>
      </c>
      <c r="K342">
        <v>0.03</v>
      </c>
      <c r="L342">
        <v>0.10452196382428898</v>
      </c>
      <c r="M342">
        <v>4.8411000000000003E-2</v>
      </c>
    </row>
    <row r="343" spans="1:13" x14ac:dyDescent="0.3">
      <c r="A343">
        <v>115</v>
      </c>
      <c r="B343">
        <v>0.3036666666666667</v>
      </c>
      <c r="C343">
        <v>0.33333333333333265</v>
      </c>
      <c r="D343">
        <v>5.0104333333333327E-2</v>
      </c>
      <c r="E343">
        <v>7.3333333333333334E-2</v>
      </c>
      <c r="F343">
        <v>0.20646766169154165</v>
      </c>
      <c r="G343">
        <v>6.8570999999999993E-2</v>
      </c>
      <c r="H343">
        <v>2.4666666666666667E-2</v>
      </c>
      <c r="I343">
        <v>0.18863049095607201</v>
      </c>
      <c r="J343">
        <v>4.043766666666667E-2</v>
      </c>
      <c r="K343">
        <v>0.03</v>
      </c>
      <c r="L343">
        <v>9.9095607235141811E-2</v>
      </c>
      <c r="M343">
        <v>4.3372000000000001E-2</v>
      </c>
    </row>
    <row r="344" spans="1:13" x14ac:dyDescent="0.3">
      <c r="A344">
        <v>120</v>
      </c>
      <c r="B344">
        <v>0.33033333333333337</v>
      </c>
      <c r="C344">
        <v>0.34708470847084633</v>
      </c>
      <c r="D344">
        <v>6.9906333333333334E-2</v>
      </c>
      <c r="E344">
        <v>9.799999999999999E-2</v>
      </c>
      <c r="F344">
        <v>0.20812603648424499</v>
      </c>
      <c r="G344">
        <v>6.1108666666666665E-2</v>
      </c>
      <c r="H344">
        <v>2.866666666666667E-2</v>
      </c>
      <c r="I344">
        <v>0.20136581764488667</v>
      </c>
      <c r="J344">
        <v>3.2685666666666668E-2</v>
      </c>
      <c r="K344">
        <v>0.03</v>
      </c>
      <c r="L344">
        <v>0.108527131782945</v>
      </c>
      <c r="M344">
        <v>4.4146999999999999E-2</v>
      </c>
    </row>
    <row r="345" spans="1:13" x14ac:dyDescent="0.3">
      <c r="A345">
        <v>125</v>
      </c>
      <c r="B345">
        <v>0.36000000000000004</v>
      </c>
      <c r="C345">
        <v>0.3740374037403737</v>
      </c>
      <c r="D345">
        <v>9.3009000000000008E-2</v>
      </c>
      <c r="E345">
        <v>9.9333333333333329E-2</v>
      </c>
      <c r="F345">
        <v>0.18794914317302336</v>
      </c>
      <c r="G345">
        <v>7.3554333333333333E-2</v>
      </c>
      <c r="H345">
        <v>3.2333333333333332E-2</v>
      </c>
      <c r="I345">
        <v>0.19859726836470967</v>
      </c>
      <c r="J345">
        <v>3.526933333333334E-2</v>
      </c>
      <c r="K345">
        <v>2.8000000000000001E-2</v>
      </c>
      <c r="L345">
        <v>9.75452196382426E-2</v>
      </c>
      <c r="M345">
        <v>3.8332999999999999E-2</v>
      </c>
    </row>
    <row r="346" spans="1:13" x14ac:dyDescent="0.3">
      <c r="A346">
        <v>130</v>
      </c>
      <c r="B346">
        <v>0.36333333333333329</v>
      </c>
      <c r="C346">
        <v>0.38393839383938327</v>
      </c>
      <c r="D346">
        <v>8.4758E-2</v>
      </c>
      <c r="E346">
        <v>0.124</v>
      </c>
      <c r="F346">
        <v>0.19375345494748433</v>
      </c>
      <c r="G346">
        <v>6.2498666666666668E-2</v>
      </c>
      <c r="H346">
        <v>0.03</v>
      </c>
      <c r="I346">
        <v>0.18438538205979996</v>
      </c>
      <c r="J346">
        <v>4.0068333333333338E-2</v>
      </c>
      <c r="K346">
        <v>0.03</v>
      </c>
      <c r="L346">
        <v>9.9741602067183341E-2</v>
      </c>
      <c r="M346">
        <v>4.2209000000000003E-2</v>
      </c>
    </row>
    <row r="347" spans="1:13" x14ac:dyDescent="0.3">
      <c r="A347">
        <v>135</v>
      </c>
      <c r="B347">
        <v>0.3793333333333333</v>
      </c>
      <c r="C347">
        <v>0.39053905390538995</v>
      </c>
      <c r="D347">
        <v>0.10180966666666667</v>
      </c>
      <c r="E347">
        <v>0.11766666666666666</v>
      </c>
      <c r="F347">
        <v>0.22498618021006034</v>
      </c>
      <c r="G347">
        <v>6.8571000000000007E-2</v>
      </c>
      <c r="H347">
        <v>3.1333333333333331E-2</v>
      </c>
      <c r="I347">
        <v>0.18881506090808364</v>
      </c>
      <c r="J347">
        <v>4.0068333333333338E-2</v>
      </c>
      <c r="K347">
        <v>0.03</v>
      </c>
      <c r="L347">
        <v>9.9095607235141991E-2</v>
      </c>
      <c r="M347">
        <v>3.9496000000000003E-2</v>
      </c>
    </row>
    <row r="348" spans="1:13" x14ac:dyDescent="0.3">
      <c r="A348">
        <v>140</v>
      </c>
      <c r="B348">
        <v>0.42266666666666669</v>
      </c>
      <c r="C348">
        <v>0.44169416941694095</v>
      </c>
      <c r="D348">
        <v>0.10237633333333333</v>
      </c>
      <c r="E348">
        <v>0.12733333333333333</v>
      </c>
      <c r="F348">
        <v>0.21171918186843533</v>
      </c>
      <c r="G348">
        <v>7.2440666666666667E-2</v>
      </c>
      <c r="H348">
        <v>3.4333333333333334E-2</v>
      </c>
      <c r="I348">
        <v>0.19232188999630798</v>
      </c>
      <c r="J348">
        <v>4.1728999999999995E-2</v>
      </c>
      <c r="K348">
        <v>2.8000000000000001E-2</v>
      </c>
      <c r="L348">
        <v>9.1602067183462241E-2</v>
      </c>
      <c r="M348">
        <v>4.376E-2</v>
      </c>
    </row>
    <row r="349" spans="1:13" x14ac:dyDescent="0.3">
      <c r="A349">
        <v>145</v>
      </c>
      <c r="B349">
        <v>0.45233333333333331</v>
      </c>
      <c r="C349">
        <v>0.46809680968096767</v>
      </c>
      <c r="D349">
        <v>0.12051133333333335</v>
      </c>
      <c r="E349">
        <v>0.14899999999999999</v>
      </c>
      <c r="F349">
        <v>0.22498618021006001</v>
      </c>
      <c r="G349">
        <v>8.295166666666666E-2</v>
      </c>
      <c r="H349">
        <v>4.2333333333333334E-2</v>
      </c>
      <c r="I349">
        <v>0.18512366186784734</v>
      </c>
      <c r="J349">
        <v>3.8223E-2</v>
      </c>
      <c r="K349">
        <v>2.8000000000000001E-2</v>
      </c>
      <c r="L349">
        <v>9.7286821705426282E-2</v>
      </c>
      <c r="M349">
        <v>4.3372000000000001E-2</v>
      </c>
    </row>
    <row r="350" spans="1:13" x14ac:dyDescent="0.3">
      <c r="A350">
        <v>150</v>
      </c>
      <c r="B350">
        <v>0.44566666666666666</v>
      </c>
      <c r="C350">
        <v>0.45049504950495001</v>
      </c>
      <c r="D350">
        <v>0.16616600000000001</v>
      </c>
      <c r="E350">
        <v>0.16233333333333333</v>
      </c>
      <c r="F350">
        <v>0.22470978441127634</v>
      </c>
      <c r="G350">
        <v>7.9903333333333326E-2</v>
      </c>
      <c r="H350">
        <v>4.6666666666666669E-2</v>
      </c>
      <c r="I350">
        <v>0.19638242894056801</v>
      </c>
      <c r="J350">
        <v>4.6159000000000006E-2</v>
      </c>
      <c r="K350">
        <v>2.8000000000000001E-2</v>
      </c>
      <c r="L350">
        <v>9.3281653746769791E-2</v>
      </c>
      <c r="M350">
        <v>3.9496000000000003E-2</v>
      </c>
    </row>
    <row r="351" spans="1:13" x14ac:dyDescent="0.3">
      <c r="A351">
        <v>155</v>
      </c>
      <c r="B351">
        <v>0.46233333333333332</v>
      </c>
      <c r="C351">
        <v>0.47579757975797526</v>
      </c>
      <c r="D351">
        <v>0.14031366666666667</v>
      </c>
      <c r="E351">
        <v>0.15233333333333332</v>
      </c>
      <c r="F351">
        <v>0.21890547263681534</v>
      </c>
      <c r="G351">
        <v>8.1285666666666659E-2</v>
      </c>
      <c r="H351">
        <v>4.9666666666666665E-2</v>
      </c>
      <c r="I351">
        <v>0.18383167220376465</v>
      </c>
      <c r="J351">
        <v>4.5420999999999996E-2</v>
      </c>
      <c r="K351">
        <v>3.3000000000000002E-2</v>
      </c>
      <c r="L351">
        <v>8.9147286821705404E-2</v>
      </c>
      <c r="M351">
        <v>3.8720999999999998E-2</v>
      </c>
    </row>
    <row r="352" spans="1:13" x14ac:dyDescent="0.3">
      <c r="A352">
        <v>160</v>
      </c>
      <c r="B352">
        <v>0.50166666666666659</v>
      </c>
      <c r="C352">
        <v>0.51595159515951561</v>
      </c>
      <c r="D352">
        <v>0.17001633333333332</v>
      </c>
      <c r="E352">
        <v>0.17066666666666666</v>
      </c>
      <c r="F352">
        <v>0.25870646766169098</v>
      </c>
      <c r="G352">
        <v>8.9577333333333342E-2</v>
      </c>
      <c r="H352">
        <v>5.4333333333333324E-2</v>
      </c>
      <c r="I352">
        <v>0.18863049095607201</v>
      </c>
      <c r="J352">
        <v>4.5420666666666665E-2</v>
      </c>
      <c r="K352">
        <v>3.3000000000000002E-2</v>
      </c>
      <c r="L352">
        <v>8.9664082687338456E-2</v>
      </c>
      <c r="M352">
        <v>4.3372000000000001E-2</v>
      </c>
    </row>
    <row r="353" spans="1:13" x14ac:dyDescent="0.3">
      <c r="A353">
        <v>165</v>
      </c>
      <c r="B353">
        <v>0.53799999999999992</v>
      </c>
      <c r="C353">
        <v>0.54895489548954868</v>
      </c>
      <c r="D353">
        <v>0.19091866666666668</v>
      </c>
      <c r="E353">
        <v>0.17400000000000002</v>
      </c>
      <c r="F353">
        <v>0.23383084577114369</v>
      </c>
      <c r="G353">
        <v>8.2943666666666679E-2</v>
      </c>
      <c r="H353">
        <v>4.6666666666666669E-2</v>
      </c>
      <c r="I353">
        <v>0.18992248062015468</v>
      </c>
      <c r="J353">
        <v>4.1360666666666664E-2</v>
      </c>
      <c r="K353">
        <v>0.03</v>
      </c>
      <c r="L353">
        <v>9.7416020671834372E-2</v>
      </c>
      <c r="M353">
        <v>4.1821999999999998E-2</v>
      </c>
    </row>
    <row r="354" spans="1:13" x14ac:dyDescent="0.3">
      <c r="A354">
        <v>170</v>
      </c>
      <c r="B354">
        <v>0.56400000000000006</v>
      </c>
      <c r="C354">
        <v>0.57260726072607238</v>
      </c>
      <c r="D354">
        <v>0.21787133333333333</v>
      </c>
      <c r="E354">
        <v>0.18400000000000002</v>
      </c>
      <c r="F354">
        <v>0.257048092868988</v>
      </c>
      <c r="G354">
        <v>0.10146233333333332</v>
      </c>
      <c r="H354">
        <v>5.4333333333333338E-2</v>
      </c>
      <c r="I354">
        <v>0.19195275009228432</v>
      </c>
      <c r="J354">
        <v>4.6533666666666668E-2</v>
      </c>
      <c r="K354">
        <v>2.5999999999999999E-2</v>
      </c>
      <c r="L354">
        <v>9.3023255813953432E-2</v>
      </c>
      <c r="M354">
        <v>4.1047E-2</v>
      </c>
    </row>
    <row r="355" spans="1:13" x14ac:dyDescent="0.3">
      <c r="A355">
        <v>175</v>
      </c>
      <c r="B355">
        <v>0.58733333333333337</v>
      </c>
      <c r="C355">
        <v>0.58910891089108841</v>
      </c>
      <c r="D355">
        <v>0.27342700000000003</v>
      </c>
      <c r="E355">
        <v>0.21066666666666667</v>
      </c>
      <c r="F355">
        <v>0.2808181315644</v>
      </c>
      <c r="G355">
        <v>0.10643733333333334</v>
      </c>
      <c r="H355">
        <v>5.2999999999999999E-2</v>
      </c>
      <c r="I355">
        <v>0.17552602436323336</v>
      </c>
      <c r="J355">
        <v>4.6712666666666659E-2</v>
      </c>
      <c r="K355">
        <v>2.3000000000000003E-2</v>
      </c>
      <c r="L355">
        <v>9.3410852713178241E-2</v>
      </c>
      <c r="M355">
        <v>3.9496000000000003E-2</v>
      </c>
    </row>
    <row r="356" spans="1:13" x14ac:dyDescent="0.3">
      <c r="A356">
        <v>180</v>
      </c>
      <c r="B356">
        <v>0.60733333333333339</v>
      </c>
      <c r="C356">
        <v>0.61771177117711729</v>
      </c>
      <c r="D356">
        <v>0.26242566666666667</v>
      </c>
      <c r="E356">
        <v>0.20566666666666666</v>
      </c>
      <c r="F356">
        <v>0.25317855168601366</v>
      </c>
      <c r="G356">
        <v>0.10560833333333335</v>
      </c>
      <c r="H356">
        <v>5.7666666666666665E-2</v>
      </c>
      <c r="I356">
        <v>0.193244739756367</v>
      </c>
      <c r="J356">
        <v>4.9481333333333329E-2</v>
      </c>
      <c r="K356">
        <v>2.3000000000000003E-2</v>
      </c>
      <c r="L356">
        <v>8.9793281653746712E-2</v>
      </c>
      <c r="M356">
        <v>3.9884000000000003E-2</v>
      </c>
    </row>
    <row r="357" spans="1:13" x14ac:dyDescent="0.3">
      <c r="A357">
        <v>185</v>
      </c>
      <c r="B357">
        <v>0.63700000000000001</v>
      </c>
      <c r="C357">
        <v>0.63971397139713926</v>
      </c>
      <c r="D357">
        <v>0.29487899999999995</v>
      </c>
      <c r="E357">
        <v>0.224</v>
      </c>
      <c r="F357">
        <v>0.28192371475953498</v>
      </c>
      <c r="G357">
        <v>0.11472933333333334</v>
      </c>
      <c r="H357">
        <v>6.0666666666666667E-2</v>
      </c>
      <c r="I357">
        <v>0.19139904023624901</v>
      </c>
      <c r="J357">
        <v>4.8558666666666667E-2</v>
      </c>
      <c r="K357">
        <v>2.8000000000000001E-2</v>
      </c>
      <c r="L357">
        <v>9.3540051679586525E-2</v>
      </c>
      <c r="M357">
        <v>3.8332999999999999E-2</v>
      </c>
    </row>
    <row r="358" spans="1:13" x14ac:dyDescent="0.3">
      <c r="A358">
        <v>190</v>
      </c>
      <c r="B358">
        <v>0.65333333333333332</v>
      </c>
      <c r="C358">
        <v>0.65786578657865735</v>
      </c>
      <c r="D358">
        <v>0.27727733333333332</v>
      </c>
      <c r="E358">
        <v>0.22900000000000001</v>
      </c>
      <c r="F358">
        <v>0.29187396351575434</v>
      </c>
      <c r="G358">
        <v>0.10809566666666666</v>
      </c>
      <c r="H358">
        <v>5.7666666666666665E-2</v>
      </c>
      <c r="I358">
        <v>0.18014027316352865</v>
      </c>
      <c r="J358">
        <v>5.1142333333333338E-2</v>
      </c>
      <c r="K358">
        <v>2.8000000000000001E-2</v>
      </c>
      <c r="L358">
        <v>8.9922480620154968E-2</v>
      </c>
      <c r="M358">
        <v>3.6394999999999997E-2</v>
      </c>
    </row>
    <row r="359" spans="1:13" x14ac:dyDescent="0.3">
      <c r="A359">
        <v>195</v>
      </c>
      <c r="B359">
        <v>0.69633333333333336</v>
      </c>
      <c r="C359">
        <v>0.69636963696369569</v>
      </c>
      <c r="D359">
        <v>0.27947766666666668</v>
      </c>
      <c r="E359">
        <v>0.22399999999999998</v>
      </c>
      <c r="F359">
        <v>0.26423438363736801</v>
      </c>
      <c r="G359">
        <v>0.13158899999999998</v>
      </c>
      <c r="H359">
        <v>5.0666666666666665E-2</v>
      </c>
      <c r="I359">
        <v>0.177740863787375</v>
      </c>
      <c r="J359">
        <v>4.6713000000000005E-2</v>
      </c>
      <c r="K359">
        <v>2.8000000000000001E-2</v>
      </c>
      <c r="L359">
        <v>9.625322997416004E-2</v>
      </c>
      <c r="M359">
        <v>4.0271000000000001E-2</v>
      </c>
    </row>
    <row r="360" spans="1:13" x14ac:dyDescent="0.3">
      <c r="A360">
        <v>200</v>
      </c>
      <c r="B360">
        <v>0.69633333333333336</v>
      </c>
      <c r="C360">
        <v>0.69746974697469744</v>
      </c>
      <c r="D360">
        <v>0.34218366666666666</v>
      </c>
      <c r="E360">
        <v>0.23899999999999999</v>
      </c>
      <c r="F360">
        <v>0.27611940298507398</v>
      </c>
      <c r="G360">
        <v>0.11859866666666667</v>
      </c>
      <c r="H360">
        <v>6.2E-2</v>
      </c>
      <c r="I360">
        <v>0.18586194167589468</v>
      </c>
      <c r="J360">
        <v>4.9111999999999996E-2</v>
      </c>
      <c r="K360">
        <v>0.03</v>
      </c>
      <c r="L360">
        <v>8.8372093023255785E-2</v>
      </c>
      <c r="M360">
        <v>3.7558000000000001E-2</v>
      </c>
    </row>
    <row r="361" spans="1:13" x14ac:dyDescent="0.3">
      <c r="A361">
        <v>205</v>
      </c>
      <c r="B361">
        <v>0.70633333333333337</v>
      </c>
      <c r="C361">
        <v>0.70352035203520302</v>
      </c>
      <c r="D361">
        <v>0.31358066666666667</v>
      </c>
      <c r="E361">
        <v>0.24233333333333332</v>
      </c>
      <c r="F361">
        <v>0.3043117744610277</v>
      </c>
      <c r="G361">
        <v>0.10367333333333333</v>
      </c>
      <c r="H361">
        <v>6.433333333333334E-2</v>
      </c>
      <c r="I361">
        <v>0.203026947212993</v>
      </c>
      <c r="J361">
        <v>5.4464666666666668E-2</v>
      </c>
      <c r="K361">
        <v>2.5999999999999999E-2</v>
      </c>
      <c r="L361">
        <v>9.0697674418604615E-2</v>
      </c>
      <c r="M361">
        <v>3.8332999999999999E-2</v>
      </c>
    </row>
    <row r="362" spans="1:13" x14ac:dyDescent="0.3">
      <c r="A362">
        <v>210</v>
      </c>
      <c r="B362">
        <v>0.73933333333333329</v>
      </c>
      <c r="C362">
        <v>0.72827282728272769</v>
      </c>
      <c r="D362">
        <v>0.35373500000000008</v>
      </c>
      <c r="E362">
        <v>0.26733333333333337</v>
      </c>
      <c r="F362">
        <v>0.32863460475400735</v>
      </c>
      <c r="G362">
        <v>0.12108633333333334</v>
      </c>
      <c r="H362">
        <v>7.400000000000001E-2</v>
      </c>
      <c r="I362">
        <v>0.17847914359542202</v>
      </c>
      <c r="J362">
        <v>5.5572333333333335E-2</v>
      </c>
      <c r="K362">
        <v>2.5999999999999999E-2</v>
      </c>
      <c r="L362">
        <v>8.9147286821705404E-2</v>
      </c>
      <c r="M362">
        <v>3.5233E-2</v>
      </c>
    </row>
    <row r="363" spans="1:13" x14ac:dyDescent="0.3">
      <c r="A363">
        <v>215</v>
      </c>
      <c r="B363">
        <v>0.76200000000000001</v>
      </c>
      <c r="C363">
        <v>0.75302530253025279</v>
      </c>
      <c r="D363">
        <v>0.44669433333333336</v>
      </c>
      <c r="E363">
        <v>0.26400000000000001</v>
      </c>
      <c r="F363">
        <v>0.30762852404643432</v>
      </c>
      <c r="G363">
        <v>0.16448066666666666</v>
      </c>
      <c r="H363">
        <v>6.7666666666666667E-2</v>
      </c>
      <c r="I363">
        <v>0.18641565153192999</v>
      </c>
      <c r="J363">
        <v>5.4095666666666674E-2</v>
      </c>
      <c r="K363">
        <v>2.5999999999999999E-2</v>
      </c>
      <c r="L363">
        <v>8.8759689922480567E-2</v>
      </c>
      <c r="M363">
        <v>3.6783000000000003E-2</v>
      </c>
    </row>
    <row r="364" spans="1:13" x14ac:dyDescent="0.3">
      <c r="A364">
        <v>220</v>
      </c>
      <c r="B364">
        <v>0.77199999999999991</v>
      </c>
      <c r="C364">
        <v>0.77392739273927369</v>
      </c>
      <c r="D364">
        <v>0.43899333333333335</v>
      </c>
      <c r="E364">
        <v>0.26900000000000002</v>
      </c>
      <c r="F364">
        <v>0.32587064676616867</v>
      </c>
      <c r="G364">
        <v>0.14292133333333332</v>
      </c>
      <c r="H364">
        <v>6.9666666666666668E-2</v>
      </c>
      <c r="I364">
        <v>0.17091177556293799</v>
      </c>
      <c r="J364">
        <v>5.0035333333333341E-2</v>
      </c>
      <c r="K364">
        <v>2.8000000000000001E-2</v>
      </c>
      <c r="L364">
        <v>8.7338501291989654E-2</v>
      </c>
      <c r="M364">
        <v>3.5619999999999999E-2</v>
      </c>
    </row>
    <row r="365" spans="1:13" x14ac:dyDescent="0.3">
      <c r="A365">
        <v>225</v>
      </c>
      <c r="B365">
        <v>0.80200000000000005</v>
      </c>
      <c r="C365">
        <v>0.78547854785478499</v>
      </c>
      <c r="D365">
        <v>0.40928999999999999</v>
      </c>
      <c r="E365">
        <v>0.28233333333333333</v>
      </c>
      <c r="F365">
        <v>0.32808181315643964</v>
      </c>
      <c r="G365">
        <v>0.15784666666666666</v>
      </c>
      <c r="H365">
        <v>6.6333333333333341E-2</v>
      </c>
      <c r="I365">
        <v>0.18936877076411898</v>
      </c>
      <c r="J365">
        <v>5.7233333333333331E-2</v>
      </c>
      <c r="K365">
        <v>2.5999999999999999E-2</v>
      </c>
      <c r="L365">
        <v>8.3850129198966339E-2</v>
      </c>
      <c r="M365">
        <v>3.4457000000000002E-2</v>
      </c>
    </row>
    <row r="366" spans="1:13" x14ac:dyDescent="0.3">
      <c r="A366">
        <v>230</v>
      </c>
      <c r="B366">
        <v>0.80200000000000005</v>
      </c>
      <c r="C366">
        <v>0.79152915291529113</v>
      </c>
      <c r="D366">
        <v>0.43844333333333335</v>
      </c>
      <c r="E366">
        <v>0.30033333333333334</v>
      </c>
      <c r="F366">
        <v>0.36954118297401833</v>
      </c>
      <c r="G366">
        <v>0.13849933333333334</v>
      </c>
      <c r="H366">
        <v>7.6666666666666675E-2</v>
      </c>
      <c r="I366">
        <v>0.20247323735695769</v>
      </c>
      <c r="J366">
        <v>5.3172666666666667E-2</v>
      </c>
      <c r="K366">
        <v>2.5999999999999999E-2</v>
      </c>
      <c r="L366">
        <v>8.2299741602067142E-2</v>
      </c>
      <c r="M366">
        <v>3.4845000000000001E-2</v>
      </c>
    </row>
    <row r="367" spans="1:13" x14ac:dyDescent="0.3">
      <c r="A367">
        <v>235</v>
      </c>
      <c r="B367">
        <v>0.84799999999999998</v>
      </c>
      <c r="C367">
        <v>0.84983498349834974</v>
      </c>
      <c r="D367">
        <v>0.59960933333333333</v>
      </c>
      <c r="E367">
        <v>0.313</v>
      </c>
      <c r="F367">
        <v>0.36318407960198967</v>
      </c>
      <c r="G367">
        <v>0.124403</v>
      </c>
      <c r="H367">
        <v>7.0666666666666669E-2</v>
      </c>
      <c r="I367">
        <v>0.19712070874861501</v>
      </c>
      <c r="J367">
        <v>5.2434333333333333E-2</v>
      </c>
      <c r="K367">
        <v>2.5999999999999999E-2</v>
      </c>
      <c r="L367">
        <v>8.1912144702842374E-2</v>
      </c>
      <c r="M367">
        <v>3.3294999999999998E-2</v>
      </c>
    </row>
    <row r="368" spans="1:13" x14ac:dyDescent="0.3">
      <c r="A368">
        <v>240</v>
      </c>
      <c r="B368">
        <v>0.83166666666666667</v>
      </c>
      <c r="C368">
        <v>0.8305830583058299</v>
      </c>
      <c r="D368">
        <v>0.47804733333333332</v>
      </c>
      <c r="E368">
        <v>0.313</v>
      </c>
      <c r="F368">
        <v>0.36981757877280236</v>
      </c>
      <c r="G368">
        <v>0.16503333333333334</v>
      </c>
      <c r="H368">
        <v>7.3000000000000009E-2</v>
      </c>
      <c r="I368">
        <v>0.18272425249169366</v>
      </c>
      <c r="J368">
        <v>5.1327000000000005E-2</v>
      </c>
      <c r="K368">
        <v>3.3000000000000002E-2</v>
      </c>
      <c r="L368">
        <v>8.4366925064599474E-2</v>
      </c>
      <c r="M368">
        <v>2.9031000000000001E-2</v>
      </c>
    </row>
    <row r="369" spans="1:13" x14ac:dyDescent="0.3">
      <c r="A369">
        <v>245</v>
      </c>
      <c r="B369">
        <v>0.84833333333333327</v>
      </c>
      <c r="C369">
        <v>0.84103410341034068</v>
      </c>
      <c r="D369">
        <v>0.53030233333333332</v>
      </c>
      <c r="E369">
        <v>0.31633333333333336</v>
      </c>
      <c r="F369">
        <v>0.34881149806522904</v>
      </c>
      <c r="G369">
        <v>0.16669166666666668</v>
      </c>
      <c r="H369">
        <v>8.1666666666666665E-2</v>
      </c>
      <c r="I369">
        <v>0.18032484311554034</v>
      </c>
      <c r="J369">
        <v>6.0555666666666667E-2</v>
      </c>
      <c r="K369">
        <v>2.3000000000000003E-2</v>
      </c>
      <c r="L369">
        <v>8.6046511627906927E-2</v>
      </c>
      <c r="M369">
        <v>3.1744000000000001E-2</v>
      </c>
    </row>
    <row r="370" spans="1:13" x14ac:dyDescent="0.3">
      <c r="A370">
        <v>250</v>
      </c>
      <c r="B370">
        <v>0.85466666666666669</v>
      </c>
      <c r="C370">
        <v>0.84708470847084705</v>
      </c>
      <c r="D370">
        <v>0.55615499999999995</v>
      </c>
      <c r="E370">
        <v>0.34633333333333338</v>
      </c>
      <c r="F370">
        <v>0.38557213930348205</v>
      </c>
      <c r="G370">
        <v>0.17636533333333335</v>
      </c>
      <c r="H370">
        <v>7.9666666666666663E-2</v>
      </c>
      <c r="I370">
        <v>0.19545957918050863</v>
      </c>
      <c r="J370">
        <v>6.1109333333333328E-2</v>
      </c>
      <c r="K370">
        <v>0.03</v>
      </c>
      <c r="L370">
        <v>8.2428940568475398E-2</v>
      </c>
      <c r="M370">
        <v>3.6007999999999998E-2</v>
      </c>
    </row>
    <row r="371" spans="1:13" x14ac:dyDescent="0.3">
      <c r="A371">
        <v>255</v>
      </c>
      <c r="B371">
        <v>0.85799999999999998</v>
      </c>
      <c r="C371">
        <v>0.85588558855885566</v>
      </c>
      <c r="D371">
        <v>0.54625433333333329</v>
      </c>
      <c r="E371">
        <v>0.34966666666666663</v>
      </c>
      <c r="F371">
        <v>0.39773355444997199</v>
      </c>
      <c r="G371">
        <v>0.19073799999999999</v>
      </c>
      <c r="H371">
        <v>7.8666666666666676E-2</v>
      </c>
      <c r="I371">
        <v>0.19453672942045</v>
      </c>
      <c r="J371">
        <v>6.0371000000000001E-2</v>
      </c>
      <c r="K371">
        <v>2.8000000000000001E-2</v>
      </c>
      <c r="L371">
        <v>8.2687338501291938E-2</v>
      </c>
      <c r="M371">
        <v>3.1357000000000003E-2</v>
      </c>
    </row>
    <row r="372" spans="1:13" x14ac:dyDescent="0.3">
      <c r="A372">
        <v>260</v>
      </c>
      <c r="B372">
        <v>0.86133333333333317</v>
      </c>
      <c r="C372">
        <v>0.86248624862486201</v>
      </c>
      <c r="D372">
        <v>0.64141366666666666</v>
      </c>
      <c r="E372">
        <v>0.39799999999999996</v>
      </c>
      <c r="F372">
        <v>0.43421779988944137</v>
      </c>
      <c r="G372">
        <v>0.19681866666666667</v>
      </c>
      <c r="H372">
        <v>7.8666666666666676E-2</v>
      </c>
      <c r="I372">
        <v>0.19453672942045</v>
      </c>
      <c r="J372">
        <v>6.0371000000000001E-2</v>
      </c>
      <c r="K372">
        <v>2.8000000000000001E-2</v>
      </c>
      <c r="L372">
        <v>8.0878552971576201E-2</v>
      </c>
      <c r="M372">
        <v>3.6394999999999997E-2</v>
      </c>
    </row>
    <row r="373" spans="1:13" x14ac:dyDescent="0.3">
      <c r="A373">
        <v>265</v>
      </c>
      <c r="B373">
        <v>0.8746666666666667</v>
      </c>
      <c r="C373">
        <v>0.87183718371837171</v>
      </c>
      <c r="D373">
        <v>0.7002693333333333</v>
      </c>
      <c r="E373">
        <v>0.34966666666666663</v>
      </c>
      <c r="F373">
        <v>0.39994472084024296</v>
      </c>
      <c r="G373">
        <v>0.20428100000000002</v>
      </c>
      <c r="H373">
        <v>8.666666666666667E-2</v>
      </c>
      <c r="I373">
        <v>0.19896640826873369</v>
      </c>
      <c r="J373">
        <v>6.1108999999999997E-2</v>
      </c>
      <c r="K373">
        <v>2.5999999999999999E-2</v>
      </c>
      <c r="L373">
        <v>7.9844961240310056E-2</v>
      </c>
      <c r="M373">
        <v>3.1357000000000003E-2</v>
      </c>
    </row>
    <row r="374" spans="1:13" x14ac:dyDescent="0.3">
      <c r="A374">
        <v>270</v>
      </c>
      <c r="B374">
        <v>0.88099999999999989</v>
      </c>
      <c r="C374">
        <v>0.87953795379537902</v>
      </c>
      <c r="D374">
        <v>0.61226066666666668</v>
      </c>
      <c r="E374">
        <v>0.40300000000000002</v>
      </c>
      <c r="F374">
        <v>0.44195688225538898</v>
      </c>
      <c r="G374">
        <v>0.20676866666666668</v>
      </c>
      <c r="H374">
        <v>8.1666666666666665E-2</v>
      </c>
      <c r="I374">
        <v>0.20874861572535933</v>
      </c>
      <c r="J374">
        <v>5.8156000000000006E-2</v>
      </c>
      <c r="K374">
        <v>2.5999999999999999E-2</v>
      </c>
      <c r="L374">
        <v>8.0490956072351405E-2</v>
      </c>
      <c r="M374">
        <v>3.1357000000000003E-2</v>
      </c>
    </row>
    <row r="375" spans="1:13" x14ac:dyDescent="0.3">
      <c r="A375">
        <v>275</v>
      </c>
      <c r="B375">
        <v>0.88766666666666671</v>
      </c>
      <c r="C375">
        <v>0.887238723872387</v>
      </c>
      <c r="D375">
        <v>0.72942233333333328</v>
      </c>
      <c r="E375">
        <v>0.39966666666666661</v>
      </c>
      <c r="F375">
        <v>0.45384190160309529</v>
      </c>
      <c r="G375">
        <v>0.22528733333333331</v>
      </c>
      <c r="H375">
        <v>8.7666666666666671E-2</v>
      </c>
      <c r="I375">
        <v>0.20764119601328868</v>
      </c>
      <c r="J375">
        <v>6.572366666666668E-2</v>
      </c>
      <c r="K375">
        <v>2.5999999999999999E-2</v>
      </c>
      <c r="L375">
        <v>7.1963824289405676E-2</v>
      </c>
      <c r="M375">
        <v>3.0581000000000001E-2</v>
      </c>
    </row>
    <row r="376" spans="1:13" x14ac:dyDescent="0.3">
      <c r="A376">
        <v>280</v>
      </c>
      <c r="B376">
        <v>0.8843333333333333</v>
      </c>
      <c r="C376">
        <v>0.88503850385038507</v>
      </c>
      <c r="D376">
        <v>0.71127066666666661</v>
      </c>
      <c r="E376">
        <v>0.41633333333333328</v>
      </c>
      <c r="F376">
        <v>0.45052515201768867</v>
      </c>
      <c r="G376">
        <v>0.18907966666666667</v>
      </c>
      <c r="H376">
        <v>8.4000000000000005E-2</v>
      </c>
      <c r="I376">
        <v>0.20081210778885164</v>
      </c>
      <c r="J376">
        <v>6.1108999999999997E-2</v>
      </c>
      <c r="K376">
        <v>2.1000000000000001E-2</v>
      </c>
      <c r="L376">
        <v>7.3255813953488361E-2</v>
      </c>
      <c r="M376">
        <v>2.7868E-2</v>
      </c>
    </row>
    <row r="377" spans="1:13" x14ac:dyDescent="0.3">
      <c r="A377">
        <v>285</v>
      </c>
      <c r="B377">
        <v>0.89100000000000001</v>
      </c>
      <c r="C377">
        <v>0.88668866886688669</v>
      </c>
      <c r="D377">
        <v>0.71292100000000003</v>
      </c>
      <c r="E377">
        <v>0.438</v>
      </c>
      <c r="F377">
        <v>0.46710889994472032</v>
      </c>
      <c r="G377">
        <v>0.23385566666666668</v>
      </c>
      <c r="H377">
        <v>8.533333333333333E-2</v>
      </c>
      <c r="I377">
        <v>0.19767441860465065</v>
      </c>
      <c r="J377">
        <v>5.7971333333333326E-2</v>
      </c>
      <c r="K377">
        <v>2.5999999999999999E-2</v>
      </c>
      <c r="L377">
        <v>7.6485788113695038E-2</v>
      </c>
      <c r="M377">
        <v>2.9805999999999999E-2</v>
      </c>
    </row>
    <row r="378" spans="1:13" x14ac:dyDescent="0.3">
      <c r="A378">
        <v>290</v>
      </c>
      <c r="B378">
        <v>0.89433333333333331</v>
      </c>
      <c r="C378">
        <v>0.894389438943894</v>
      </c>
      <c r="D378">
        <v>0.74812433333333328</v>
      </c>
      <c r="E378">
        <v>0.46466666666666673</v>
      </c>
      <c r="F378">
        <v>0.47816473189607467</v>
      </c>
      <c r="G378">
        <v>0.24159466666666671</v>
      </c>
      <c r="H378">
        <v>8.533333333333333E-2</v>
      </c>
      <c r="I378">
        <v>0.19158361018826101</v>
      </c>
      <c r="J378">
        <v>6.1109333333333328E-2</v>
      </c>
      <c r="K378">
        <v>2.5999999999999999E-2</v>
      </c>
      <c r="L378">
        <v>7.4418604651162734E-2</v>
      </c>
      <c r="M378">
        <v>2.8642999999999998E-2</v>
      </c>
    </row>
    <row r="379" spans="1:13" x14ac:dyDescent="0.3">
      <c r="A379">
        <v>295</v>
      </c>
      <c r="B379">
        <v>0.89766666666666672</v>
      </c>
      <c r="C379">
        <v>0.89768976897689734</v>
      </c>
      <c r="D379">
        <v>0.74042366666666659</v>
      </c>
      <c r="E379">
        <v>0.48299999999999993</v>
      </c>
      <c r="F379">
        <v>0.48756218905472598</v>
      </c>
      <c r="G379">
        <v>0.25099199999999999</v>
      </c>
      <c r="H379">
        <v>8.8666666666666671E-2</v>
      </c>
      <c r="I379">
        <v>0.19915097822074532</v>
      </c>
      <c r="J379">
        <v>6.6645999999999997E-2</v>
      </c>
      <c r="K379">
        <v>2.5999999999999999E-2</v>
      </c>
      <c r="L379">
        <v>7.6614987080103336E-2</v>
      </c>
      <c r="M379">
        <v>2.9031000000000001E-2</v>
      </c>
    </row>
    <row r="380" spans="1:13" x14ac:dyDescent="0.3">
      <c r="A380">
        <v>300</v>
      </c>
      <c r="B380">
        <v>0.89766666666666672</v>
      </c>
      <c r="C380">
        <v>0.89768976897689734</v>
      </c>
      <c r="D380">
        <v>0.78387799999999996</v>
      </c>
      <c r="E380">
        <v>0.48299999999999993</v>
      </c>
      <c r="F380">
        <v>0.51077943615257004</v>
      </c>
      <c r="G380">
        <v>0.26453566666666667</v>
      </c>
      <c r="H380">
        <v>8.8666666666666671E-2</v>
      </c>
      <c r="I380">
        <v>0.20634920634920598</v>
      </c>
      <c r="J380">
        <v>7.4952000000000005E-2</v>
      </c>
      <c r="K380">
        <v>2.1000000000000001E-2</v>
      </c>
      <c r="L380">
        <v>7.2222222222222174E-2</v>
      </c>
      <c r="M380">
        <v>3.0193999999999999E-2</v>
      </c>
    </row>
    <row r="381" spans="1:13" x14ac:dyDescent="0.3">
      <c r="A381">
        <v>305</v>
      </c>
      <c r="B381">
        <v>0.89766666666666672</v>
      </c>
      <c r="C381">
        <v>0.89768976897689734</v>
      </c>
      <c r="D381">
        <v>0.76022533333333342</v>
      </c>
      <c r="E381">
        <v>0.504</v>
      </c>
      <c r="F381">
        <v>0.52183526810392433</v>
      </c>
      <c r="G381">
        <v>0.27448566666666663</v>
      </c>
      <c r="H381">
        <v>9.0666666666666673E-2</v>
      </c>
      <c r="I381">
        <v>0.21520856404577302</v>
      </c>
      <c r="J381">
        <v>6.221666666666667E-2</v>
      </c>
      <c r="K381">
        <v>2.5999999999999999E-2</v>
      </c>
      <c r="L381">
        <v>7.506459948320407E-2</v>
      </c>
      <c r="M381">
        <v>2.9419000000000001E-2</v>
      </c>
    </row>
    <row r="382" spans="1:13" x14ac:dyDescent="0.3">
      <c r="A382">
        <v>310</v>
      </c>
      <c r="B382">
        <v>1</v>
      </c>
      <c r="C382">
        <v>1</v>
      </c>
      <c r="D382">
        <v>0.92139166666666661</v>
      </c>
      <c r="E382">
        <v>0.52866666666666673</v>
      </c>
      <c r="F382">
        <v>0.53344389165284634</v>
      </c>
      <c r="G382">
        <v>0.255691</v>
      </c>
      <c r="H382">
        <v>9.3000000000000013E-2</v>
      </c>
      <c r="I382">
        <v>0.22056109265411564</v>
      </c>
      <c r="J382">
        <v>7.0152999999999993E-2</v>
      </c>
      <c r="K382">
        <v>2.3000000000000003E-2</v>
      </c>
      <c r="L382">
        <v>6.9509043927648534E-2</v>
      </c>
      <c r="M382">
        <v>2.9805999999999999E-2</v>
      </c>
    </row>
    <row r="383" spans="1:13" x14ac:dyDescent="0.3">
      <c r="A383">
        <v>315</v>
      </c>
      <c r="B383">
        <v>0.89766666666666672</v>
      </c>
      <c r="C383">
        <v>0.89768976897689734</v>
      </c>
      <c r="D383">
        <v>0.82513199999999998</v>
      </c>
      <c r="E383">
        <v>0.50700000000000001</v>
      </c>
      <c r="F383">
        <v>0.53123272526257559</v>
      </c>
      <c r="G383">
        <v>0.2742093333333333</v>
      </c>
      <c r="H383">
        <v>8.9666666666666672E-2</v>
      </c>
      <c r="I383">
        <v>0.21391657438169034</v>
      </c>
      <c r="J383">
        <v>6.756899999999999E-2</v>
      </c>
      <c r="K383">
        <v>2.1000000000000001E-2</v>
      </c>
      <c r="L383">
        <v>6.6795865633074894E-2</v>
      </c>
      <c r="M383">
        <v>2.7868E-2</v>
      </c>
    </row>
    <row r="384" spans="1:13" x14ac:dyDescent="0.3">
      <c r="A384">
        <v>320</v>
      </c>
      <c r="B384">
        <v>0.89766666666666672</v>
      </c>
      <c r="C384">
        <v>0.89768976897689734</v>
      </c>
      <c r="D384">
        <v>0.83173299999999994</v>
      </c>
      <c r="E384">
        <v>0.53033333333333332</v>
      </c>
      <c r="F384">
        <v>0.54228855721392966</v>
      </c>
      <c r="G384">
        <v>0.31594533333333336</v>
      </c>
      <c r="H384">
        <v>9.3000000000000013E-2</v>
      </c>
      <c r="I384">
        <v>0.21613141380583198</v>
      </c>
      <c r="J384">
        <v>7.0337666666666673E-2</v>
      </c>
      <c r="K384">
        <v>2.1000000000000001E-2</v>
      </c>
      <c r="L384">
        <v>6.7441860465116188E-2</v>
      </c>
      <c r="M384">
        <v>2.5155E-2</v>
      </c>
    </row>
    <row r="385" spans="1:13" x14ac:dyDescent="0.3">
      <c r="A385">
        <v>325</v>
      </c>
      <c r="B385">
        <v>0.90100000000000013</v>
      </c>
      <c r="C385">
        <v>0.89823982398239799</v>
      </c>
      <c r="D385">
        <v>0.83723333333333327</v>
      </c>
      <c r="E385">
        <v>0.53533333333333333</v>
      </c>
      <c r="F385">
        <v>0.54947484798231006</v>
      </c>
      <c r="G385">
        <v>0.30101966666666669</v>
      </c>
      <c r="H385">
        <v>8.8666666666666671E-2</v>
      </c>
      <c r="I385">
        <v>0.21760797342192664</v>
      </c>
      <c r="J385">
        <v>7.7720666666666674E-2</v>
      </c>
      <c r="K385">
        <v>2.1000000000000001E-2</v>
      </c>
      <c r="L385">
        <v>7.1059431524547731E-2</v>
      </c>
      <c r="M385">
        <v>2.5155E-2</v>
      </c>
    </row>
    <row r="386" spans="1:13" x14ac:dyDescent="0.3">
      <c r="A386">
        <v>330</v>
      </c>
      <c r="B386">
        <v>0.90100000000000013</v>
      </c>
      <c r="C386">
        <v>0.90099009900990057</v>
      </c>
      <c r="D386">
        <v>0.85978533333333329</v>
      </c>
      <c r="E386">
        <v>0.53533333333333333</v>
      </c>
      <c r="F386">
        <v>0.55389718076285177</v>
      </c>
      <c r="G386">
        <v>0.31401033333333334</v>
      </c>
      <c r="H386">
        <v>9.5333333333333339E-2</v>
      </c>
      <c r="I386">
        <v>0.25046142488002898</v>
      </c>
      <c r="J386">
        <v>7.772066666666666E-2</v>
      </c>
      <c r="K386">
        <v>2.3000000000000003E-2</v>
      </c>
      <c r="L386">
        <v>6.3953488372092998E-2</v>
      </c>
      <c r="M386">
        <v>2.5929999999999998E-2</v>
      </c>
    </row>
    <row r="387" spans="1:13" x14ac:dyDescent="0.3">
      <c r="A387">
        <v>335</v>
      </c>
      <c r="B387">
        <v>0.90766666666666662</v>
      </c>
      <c r="C387">
        <v>0.90759075907590692</v>
      </c>
      <c r="D387">
        <v>0.8707866666666666</v>
      </c>
      <c r="E387">
        <v>0.57033333333333336</v>
      </c>
      <c r="F387">
        <v>0.57186290768380266</v>
      </c>
      <c r="G387">
        <v>0.39637633333333328</v>
      </c>
      <c r="H387">
        <v>9.7333333333333341E-2</v>
      </c>
      <c r="I387">
        <v>0.22369878183831601</v>
      </c>
      <c r="J387">
        <v>7.4952000000000005E-2</v>
      </c>
      <c r="K387">
        <v>1.9E-2</v>
      </c>
      <c r="L387">
        <v>7.1834625322997378E-2</v>
      </c>
      <c r="M387">
        <v>2.8642999999999998E-2</v>
      </c>
    </row>
    <row r="388" spans="1:13" x14ac:dyDescent="0.3">
      <c r="A388">
        <v>340</v>
      </c>
      <c r="B388">
        <v>0.90766666666666662</v>
      </c>
      <c r="C388">
        <v>0.90814081408140723</v>
      </c>
      <c r="D388">
        <v>0.87518700000000005</v>
      </c>
      <c r="E388">
        <v>0.57366666666666666</v>
      </c>
      <c r="F388">
        <v>0.58043117744610229</v>
      </c>
      <c r="G388">
        <v>0.34911300000000001</v>
      </c>
      <c r="H388">
        <v>9.2000000000000012E-2</v>
      </c>
      <c r="I388">
        <v>0.23237356958287134</v>
      </c>
      <c r="J388">
        <v>7.2552666666666668E-2</v>
      </c>
      <c r="K388">
        <v>2.5999999999999999E-2</v>
      </c>
      <c r="L388">
        <v>6.6149870801033531E-2</v>
      </c>
      <c r="M388">
        <v>2.3605000000000001E-2</v>
      </c>
    </row>
    <row r="389" spans="1:13" x14ac:dyDescent="0.3">
      <c r="A389">
        <v>345</v>
      </c>
      <c r="B389">
        <v>0.92099999999999993</v>
      </c>
      <c r="C389">
        <v>0.92134213421342059</v>
      </c>
      <c r="D389">
        <v>0.8812376666666667</v>
      </c>
      <c r="E389">
        <v>0.57533333333333336</v>
      </c>
      <c r="F389">
        <v>0.59093421779988864</v>
      </c>
      <c r="G389">
        <v>0.4298203333333333</v>
      </c>
      <c r="H389">
        <v>9.9666666666666681E-2</v>
      </c>
      <c r="I389">
        <v>0.22425249169435169</v>
      </c>
      <c r="J389">
        <v>8.0673666666666657E-2</v>
      </c>
      <c r="K389">
        <v>2.3000000000000003E-2</v>
      </c>
      <c r="L389">
        <v>6.8346253229974105E-2</v>
      </c>
      <c r="M389">
        <v>2.7868E-2</v>
      </c>
    </row>
    <row r="390" spans="1:13" x14ac:dyDescent="0.3">
      <c r="A390">
        <v>350</v>
      </c>
      <c r="B390">
        <v>0.94099999999999995</v>
      </c>
      <c r="C390">
        <v>0.93839383938393794</v>
      </c>
      <c r="D390">
        <v>0.87683700000000009</v>
      </c>
      <c r="E390">
        <v>0.58533333333333326</v>
      </c>
      <c r="F390">
        <v>0.60475400773908172</v>
      </c>
      <c r="G390">
        <v>0.36984233333333333</v>
      </c>
      <c r="H390">
        <v>9.9666666666666681E-2</v>
      </c>
      <c r="I390">
        <v>0.22259136212624533</v>
      </c>
      <c r="J390">
        <v>7.1814666666666666E-2</v>
      </c>
      <c r="K390">
        <v>1.9E-2</v>
      </c>
      <c r="L390">
        <v>6.7183462532299704E-2</v>
      </c>
      <c r="M390">
        <v>2.7092999999999996E-2</v>
      </c>
    </row>
    <row r="391" spans="1:13" x14ac:dyDescent="0.3">
      <c r="A391">
        <v>355</v>
      </c>
      <c r="B391">
        <v>0.93100000000000005</v>
      </c>
      <c r="C391">
        <v>0.92739273927392674</v>
      </c>
      <c r="D391">
        <v>0.86748633333333325</v>
      </c>
      <c r="E391">
        <v>0.59866666666666668</v>
      </c>
      <c r="F391">
        <v>0.60972913211719149</v>
      </c>
      <c r="G391">
        <v>0.36652600000000007</v>
      </c>
      <c r="H391">
        <v>0.10200000000000002</v>
      </c>
      <c r="I391">
        <v>0.236618678479143</v>
      </c>
      <c r="J391">
        <v>7.7720333333333336E-2</v>
      </c>
      <c r="K391">
        <v>2.3000000000000003E-2</v>
      </c>
      <c r="L391">
        <v>7.0671834625322935E-2</v>
      </c>
      <c r="M391">
        <v>2.7868E-2</v>
      </c>
    </row>
    <row r="392" spans="1:13" x14ac:dyDescent="0.3">
      <c r="A392">
        <v>360</v>
      </c>
      <c r="B392">
        <v>0.97000000000000008</v>
      </c>
      <c r="C392">
        <v>0.96259625962596196</v>
      </c>
      <c r="D392">
        <v>0.89113866666666663</v>
      </c>
      <c r="E392">
        <v>0.62699999999999989</v>
      </c>
      <c r="F392">
        <v>0.62410171365395195</v>
      </c>
      <c r="G392">
        <v>0.42318699999999998</v>
      </c>
      <c r="H392">
        <v>0.10533333333333333</v>
      </c>
      <c r="I392">
        <v>0.24972314507198168</v>
      </c>
      <c r="J392">
        <v>8.657999999999999E-2</v>
      </c>
      <c r="K392">
        <v>1.9E-2</v>
      </c>
      <c r="L392">
        <v>6.6795865633074894E-2</v>
      </c>
      <c r="M392">
        <v>2.4767000000000001E-2</v>
      </c>
    </row>
    <row r="393" spans="1:13" x14ac:dyDescent="0.3">
      <c r="A393">
        <v>365</v>
      </c>
      <c r="B393">
        <v>0.96</v>
      </c>
      <c r="C393">
        <v>0.95819581958195765</v>
      </c>
      <c r="D393">
        <v>0.883988</v>
      </c>
      <c r="E393">
        <v>0.6253333333333333</v>
      </c>
      <c r="F393">
        <v>0.62603648424543901</v>
      </c>
      <c r="G393">
        <v>0.37260633333333332</v>
      </c>
      <c r="H393">
        <v>0.10433333333333333</v>
      </c>
      <c r="I393">
        <v>0.229605020302694</v>
      </c>
      <c r="J393">
        <v>7.8274333333333335E-2</v>
      </c>
      <c r="K393">
        <v>2.1000000000000001E-2</v>
      </c>
      <c r="L393">
        <v>7.1963824289405634E-2</v>
      </c>
      <c r="M393">
        <v>2.5543E-2</v>
      </c>
    </row>
    <row r="394" spans="1:13" x14ac:dyDescent="0.3">
      <c r="A394">
        <v>370</v>
      </c>
      <c r="B394">
        <v>0.95333333333333325</v>
      </c>
      <c r="C394">
        <v>0.94829482948294774</v>
      </c>
      <c r="D394">
        <v>0.88783833333333328</v>
      </c>
      <c r="E394">
        <v>0.64033333333333331</v>
      </c>
      <c r="F394">
        <v>0.63902708678828024</v>
      </c>
      <c r="G394">
        <v>0.43424266666666661</v>
      </c>
      <c r="H394">
        <v>0.10733333333333334</v>
      </c>
      <c r="I394">
        <v>0.22978959025470602</v>
      </c>
      <c r="J394">
        <v>8.602633333333333E-2</v>
      </c>
      <c r="K394">
        <v>2.3000000000000003E-2</v>
      </c>
      <c r="L394">
        <v>6.5633074935400493E-2</v>
      </c>
      <c r="M394">
        <v>2.7092999999999996E-2</v>
      </c>
    </row>
    <row r="395" spans="1:13" x14ac:dyDescent="0.3">
      <c r="A395">
        <v>375</v>
      </c>
      <c r="B395">
        <v>0.98333333333333339</v>
      </c>
      <c r="C395">
        <v>0.98349834983498319</v>
      </c>
      <c r="D395">
        <v>0.89003833333333338</v>
      </c>
      <c r="E395">
        <v>0.64200000000000002</v>
      </c>
      <c r="F395">
        <v>0.64455500276395739</v>
      </c>
      <c r="G395">
        <v>0.41019600000000001</v>
      </c>
      <c r="H395">
        <v>0.10966666666666668</v>
      </c>
      <c r="I395">
        <v>0.24123292727943832</v>
      </c>
      <c r="J395">
        <v>7.938166666666667E-2</v>
      </c>
      <c r="K395">
        <v>2.5999999999999999E-2</v>
      </c>
      <c r="L395">
        <v>7.1834625322997378E-2</v>
      </c>
      <c r="M395">
        <v>2.5155E-2</v>
      </c>
    </row>
    <row r="396" spans="1:13" x14ac:dyDescent="0.3">
      <c r="A396">
        <v>380</v>
      </c>
      <c r="B396">
        <v>0.96333333333333326</v>
      </c>
      <c r="C396">
        <v>0.96259625962596207</v>
      </c>
      <c r="D396">
        <v>0.88728799999999997</v>
      </c>
      <c r="E396">
        <v>0.65700000000000003</v>
      </c>
      <c r="F396">
        <v>0.64234383637368675</v>
      </c>
      <c r="G396">
        <v>0.40273366666666671</v>
      </c>
      <c r="H396">
        <v>0.12533333333333332</v>
      </c>
      <c r="I396">
        <v>0.25692137320044267</v>
      </c>
      <c r="J396">
        <v>9.1747666666666672E-2</v>
      </c>
      <c r="K396">
        <v>2.1000000000000001E-2</v>
      </c>
      <c r="L396">
        <v>6.5633074935400479E-2</v>
      </c>
      <c r="M396">
        <v>2.4379999999999999E-2</v>
      </c>
    </row>
    <row r="397" spans="1:13" x14ac:dyDescent="0.3">
      <c r="B397">
        <v>0.98</v>
      </c>
      <c r="C397">
        <v>0.98019801980197985</v>
      </c>
      <c r="D397">
        <v>0.89498866666666654</v>
      </c>
      <c r="E397">
        <v>0.65700000000000003</v>
      </c>
      <c r="F397">
        <v>0.65920398009950232</v>
      </c>
      <c r="G397">
        <v>0.43147866666666673</v>
      </c>
      <c r="H397">
        <v>0.12533333333333332</v>
      </c>
      <c r="I397">
        <v>0.24621631598375734</v>
      </c>
      <c r="J397">
        <v>8.5841666666666663E-2</v>
      </c>
      <c r="K397">
        <v>1.9E-2</v>
      </c>
      <c r="L397">
        <v>6.3695090439276444E-2</v>
      </c>
      <c r="M397">
        <v>2.3217000000000002E-2</v>
      </c>
    </row>
    <row r="460" spans="1:4" x14ac:dyDescent="0.3">
      <c r="B460" s="7" t="s">
        <v>404</v>
      </c>
      <c r="C460" s="7"/>
      <c r="D460" s="7"/>
    </row>
    <row r="461" spans="1:4" x14ac:dyDescent="0.3">
      <c r="A461" t="s">
        <v>403</v>
      </c>
      <c r="B461" t="s">
        <v>388</v>
      </c>
      <c r="C461" t="s">
        <v>7</v>
      </c>
      <c r="D461" t="s">
        <v>8</v>
      </c>
    </row>
    <row r="462" spans="1:4" x14ac:dyDescent="0.3">
      <c r="A462">
        <v>500</v>
      </c>
      <c r="B462">
        <v>25</v>
      </c>
      <c r="C462">
        <v>60</v>
      </c>
      <c r="D462">
        <v>25</v>
      </c>
    </row>
    <row r="463" spans="1:4" x14ac:dyDescent="0.3">
      <c r="A463">
        <v>1000</v>
      </c>
      <c r="B463">
        <v>15</v>
      </c>
      <c r="C463">
        <v>10</v>
      </c>
      <c r="D463">
        <v>15</v>
      </c>
    </row>
    <row r="464" spans="1:4" x14ac:dyDescent="0.3">
      <c r="A464">
        <v>1500</v>
      </c>
      <c r="B464">
        <v>10</v>
      </c>
      <c r="C464">
        <v>10</v>
      </c>
      <c r="D464">
        <v>115</v>
      </c>
    </row>
    <row r="465" spans="1:4" x14ac:dyDescent="0.3">
      <c r="A465">
        <v>3000</v>
      </c>
      <c r="B465">
        <v>380</v>
      </c>
      <c r="C465">
        <v>380</v>
      </c>
      <c r="D465">
        <v>380</v>
      </c>
    </row>
  </sheetData>
  <mergeCells count="1">
    <mergeCell ref="B460:D46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DF93-5B37-484B-8B09-CF5229236444}">
  <dimension ref="A1:S213"/>
  <sheetViews>
    <sheetView topLeftCell="J165" workbookViewId="0">
      <selection activeCell="Z198" sqref="Z198"/>
    </sheetView>
  </sheetViews>
  <sheetFormatPr defaultRowHeight="14.4" x14ac:dyDescent="0.3"/>
  <cols>
    <col min="11" max="11" width="13.33203125" bestFit="1" customWidth="1"/>
    <col min="12" max="12" width="10.6640625" bestFit="1" customWidth="1"/>
    <col min="17" max="17" width="12" bestFit="1" customWidth="1"/>
    <col min="18" max="18" width="10.6640625" bestFit="1" customWidth="1"/>
  </cols>
  <sheetData>
    <row r="1" spans="1:19" x14ac:dyDescent="0.3">
      <c r="A1" t="s">
        <v>9</v>
      </c>
    </row>
    <row r="2" spans="1:19" x14ac:dyDescent="0.3">
      <c r="C2" t="s">
        <v>6</v>
      </c>
      <c r="F2" t="s">
        <v>7</v>
      </c>
      <c r="I2" t="s">
        <v>8</v>
      </c>
      <c r="O2" t="s">
        <v>83</v>
      </c>
      <c r="R2" t="s">
        <v>84</v>
      </c>
    </row>
    <row r="3" spans="1:19" x14ac:dyDescent="0.3">
      <c r="A3" t="s">
        <v>85</v>
      </c>
      <c r="B3" t="s">
        <v>86</v>
      </c>
      <c r="C3" t="s">
        <v>88</v>
      </c>
      <c r="D3" t="s">
        <v>90</v>
      </c>
      <c r="E3" t="s">
        <v>92</v>
      </c>
      <c r="F3" t="s">
        <v>93</v>
      </c>
      <c r="G3" t="s">
        <v>94</v>
      </c>
      <c r="H3" t="s">
        <v>92</v>
      </c>
      <c r="I3" t="s">
        <v>93</v>
      </c>
      <c r="J3" t="s">
        <v>94</v>
      </c>
      <c r="K3" t="s">
        <v>95</v>
      </c>
      <c r="L3" t="s">
        <v>96</v>
      </c>
      <c r="N3" t="s">
        <v>126</v>
      </c>
      <c r="O3" t="s">
        <v>99</v>
      </c>
      <c r="P3" t="s">
        <v>100</v>
      </c>
      <c r="Q3" t="s">
        <v>6</v>
      </c>
      <c r="R3" t="s">
        <v>7</v>
      </c>
      <c r="S3" t="s">
        <v>8</v>
      </c>
    </row>
    <row r="4" spans="1:19" x14ac:dyDescent="0.3">
      <c r="A4" t="s">
        <v>135</v>
      </c>
      <c r="B4">
        <v>0.36599999999999999</v>
      </c>
      <c r="C4">
        <v>0.36199999999999999</v>
      </c>
      <c r="D4">
        <v>0.38200000000000001</v>
      </c>
      <c r="E4">
        <v>0.37953795379537902</v>
      </c>
      <c r="F4">
        <v>0.38925802879291199</v>
      </c>
      <c r="G4">
        <v>0.394795127353266</v>
      </c>
      <c r="H4">
        <v>0.22612199999999999</v>
      </c>
      <c r="I4">
        <v>0.25029299999999999</v>
      </c>
      <c r="J4">
        <v>0.25583099999999998</v>
      </c>
      <c r="K4">
        <v>1141.2</v>
      </c>
      <c r="L4">
        <v>27.33</v>
      </c>
      <c r="N4">
        <f>AVERAGE(B4:D4)</f>
        <v>0.36999999999999994</v>
      </c>
      <c r="O4">
        <f>AVERAGE(E4:G4)</f>
        <v>0.38786370331385234</v>
      </c>
      <c r="P4">
        <f>AVERAGE(H4:J4)</f>
        <v>0.24408199999999999</v>
      </c>
      <c r="Q4">
        <v>0.37</v>
      </c>
      <c r="R4">
        <v>0.38786399999999999</v>
      </c>
      <c r="S4">
        <f>MIN(P4:P35)</f>
        <v>5.0000000000000001E-3</v>
      </c>
    </row>
    <row r="5" spans="1:19" x14ac:dyDescent="0.3">
      <c r="A5" t="s">
        <v>136</v>
      </c>
      <c r="B5">
        <v>0.42599999999999999</v>
      </c>
      <c r="C5">
        <v>0.42499999999999999</v>
      </c>
      <c r="D5">
        <v>0.435</v>
      </c>
      <c r="E5">
        <v>0.45544554455445502</v>
      </c>
      <c r="F5">
        <v>0.439645625692137</v>
      </c>
      <c r="G5">
        <v>0.452380952380952</v>
      </c>
      <c r="H5">
        <v>0.224472</v>
      </c>
      <c r="I5">
        <v>0.22592999999999999</v>
      </c>
      <c r="J5">
        <v>0.24088000000000001</v>
      </c>
      <c r="K5">
        <v>4258.3</v>
      </c>
      <c r="L5">
        <v>2164.92</v>
      </c>
      <c r="N5">
        <f t="shared" ref="N5:N35" si="0">AVERAGE(B5:D5)</f>
        <v>0.4286666666666667</v>
      </c>
      <c r="O5">
        <f t="shared" ref="O5:O35" si="1">AVERAGE(E5:G5)</f>
        <v>0.44915737420918128</v>
      </c>
      <c r="P5">
        <f t="shared" ref="P5:P35" si="2">AVERAGE(H5:J5)</f>
        <v>0.23042733333333332</v>
      </c>
      <c r="Q5" t="s">
        <v>137</v>
      </c>
      <c r="R5" t="s">
        <v>137</v>
      </c>
      <c r="S5" t="s">
        <v>138</v>
      </c>
    </row>
    <row r="6" spans="1:19" x14ac:dyDescent="0.3">
      <c r="A6" t="s">
        <v>139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0.81523100000000004</v>
      </c>
      <c r="I6">
        <v>0.80621799999999999</v>
      </c>
      <c r="J6">
        <v>0.84276300000000004</v>
      </c>
      <c r="K6">
        <v>1383.2</v>
      </c>
      <c r="L6">
        <v>35.119999999999997</v>
      </c>
      <c r="N6">
        <f t="shared" si="0"/>
        <v>1</v>
      </c>
      <c r="O6">
        <f t="shared" si="1"/>
        <v>1</v>
      </c>
      <c r="P6">
        <f t="shared" si="2"/>
        <v>0.82140400000000013</v>
      </c>
    </row>
    <row r="7" spans="1:19" x14ac:dyDescent="0.3">
      <c r="A7" t="s">
        <v>140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0.94064400000000004</v>
      </c>
      <c r="I7">
        <v>0.94796800000000003</v>
      </c>
      <c r="J7">
        <v>0.95461200000000002</v>
      </c>
      <c r="K7">
        <v>3148.7</v>
      </c>
      <c r="L7">
        <v>2196.9499999999998</v>
      </c>
      <c r="N7">
        <f t="shared" si="0"/>
        <v>1</v>
      </c>
      <c r="O7">
        <f t="shared" si="1"/>
        <v>1</v>
      </c>
      <c r="P7">
        <f t="shared" si="2"/>
        <v>0.94774133333333344</v>
      </c>
    </row>
    <row r="8" spans="1:19" x14ac:dyDescent="0.3">
      <c r="A8" t="s">
        <v>141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0.52315199999999995</v>
      </c>
      <c r="I8">
        <v>0.54320599999999997</v>
      </c>
      <c r="J8">
        <v>0.54652800000000001</v>
      </c>
      <c r="K8">
        <v>800.2</v>
      </c>
      <c r="L8">
        <v>35.340000000000003</v>
      </c>
      <c r="N8">
        <f t="shared" si="0"/>
        <v>1</v>
      </c>
      <c r="O8">
        <f t="shared" si="1"/>
        <v>1</v>
      </c>
      <c r="P8">
        <f t="shared" si="2"/>
        <v>0.53762866666666664</v>
      </c>
    </row>
    <row r="9" spans="1:19" x14ac:dyDescent="0.3">
      <c r="A9" t="s">
        <v>142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0.16176599999999999</v>
      </c>
      <c r="I9">
        <v>0.16945199999999999</v>
      </c>
      <c r="J9">
        <v>0.17332800000000001</v>
      </c>
      <c r="K9">
        <v>3659</v>
      </c>
      <c r="L9">
        <v>2142.09</v>
      </c>
      <c r="N9">
        <f t="shared" si="0"/>
        <v>1</v>
      </c>
      <c r="O9">
        <f t="shared" si="1"/>
        <v>1</v>
      </c>
      <c r="P9">
        <f t="shared" si="2"/>
        <v>0.16818200000000003</v>
      </c>
    </row>
    <row r="10" spans="1:19" x14ac:dyDescent="0.3">
      <c r="A10" t="s">
        <v>143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0.10896</v>
      </c>
      <c r="I10">
        <v>0.143981</v>
      </c>
      <c r="J10">
        <v>0.108544</v>
      </c>
      <c r="K10">
        <v>921.8</v>
      </c>
      <c r="L10">
        <v>43.58</v>
      </c>
      <c r="N10">
        <f t="shared" si="0"/>
        <v>1</v>
      </c>
      <c r="O10">
        <f t="shared" si="1"/>
        <v>1</v>
      </c>
      <c r="P10">
        <f t="shared" si="2"/>
        <v>0.12049499999999998</v>
      </c>
    </row>
    <row r="11" spans="1:19" x14ac:dyDescent="0.3">
      <c r="A11" t="s">
        <v>144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1.3251000000000001E-2</v>
      </c>
      <c r="I11">
        <v>7.2150000000000001E-3</v>
      </c>
      <c r="J11">
        <v>1.3306E-2</v>
      </c>
      <c r="K11">
        <v>3879</v>
      </c>
      <c r="L11">
        <v>2202.81</v>
      </c>
      <c r="N11">
        <f t="shared" si="0"/>
        <v>1</v>
      </c>
      <c r="O11">
        <f t="shared" si="1"/>
        <v>1</v>
      </c>
      <c r="P11">
        <f t="shared" si="2"/>
        <v>1.1257333333333334E-2</v>
      </c>
    </row>
    <row r="12" spans="1:19" x14ac:dyDescent="0.3">
      <c r="A12" t="s">
        <v>145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0.83668299999999995</v>
      </c>
      <c r="I12">
        <v>0.81452400000000003</v>
      </c>
      <c r="J12">
        <v>0.84165599999999996</v>
      </c>
      <c r="K12">
        <v>1049.4000000000001</v>
      </c>
      <c r="L12">
        <v>33.06</v>
      </c>
      <c r="N12">
        <f t="shared" si="0"/>
        <v>1</v>
      </c>
      <c r="O12">
        <f t="shared" si="1"/>
        <v>1</v>
      </c>
      <c r="P12">
        <f t="shared" si="2"/>
        <v>0.83095433333333324</v>
      </c>
    </row>
    <row r="13" spans="1:19" x14ac:dyDescent="0.3">
      <c r="A13" t="s">
        <v>146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0.96539600000000003</v>
      </c>
      <c r="I13">
        <v>0.97399199999999997</v>
      </c>
      <c r="J13">
        <v>0.97620700000000005</v>
      </c>
      <c r="K13">
        <v>3956.1</v>
      </c>
      <c r="L13">
        <v>2161.06</v>
      </c>
      <c r="N13">
        <f t="shared" si="0"/>
        <v>1</v>
      </c>
      <c r="O13">
        <f t="shared" si="1"/>
        <v>1</v>
      </c>
      <c r="P13">
        <f t="shared" si="2"/>
        <v>0.97186500000000009</v>
      </c>
    </row>
    <row r="14" spans="1:19" x14ac:dyDescent="0.3">
      <c r="A14" t="s">
        <v>147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0.19971900000000001</v>
      </c>
      <c r="I14">
        <v>0.18218699999999999</v>
      </c>
      <c r="J14">
        <v>0.19492200000000001</v>
      </c>
      <c r="K14">
        <v>1164.4000000000001</v>
      </c>
      <c r="L14">
        <v>37.840000000000003</v>
      </c>
      <c r="N14">
        <f t="shared" si="0"/>
        <v>1</v>
      </c>
      <c r="O14">
        <f t="shared" si="1"/>
        <v>1</v>
      </c>
      <c r="P14">
        <f t="shared" si="2"/>
        <v>0.192276</v>
      </c>
    </row>
    <row r="15" spans="1:19" x14ac:dyDescent="0.3">
      <c r="A15" t="s">
        <v>148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8.3000000000000001E-3</v>
      </c>
      <c r="I15">
        <v>1.7735000000000001E-2</v>
      </c>
      <c r="J15">
        <v>1.6628E-2</v>
      </c>
      <c r="K15">
        <v>4326.8</v>
      </c>
      <c r="L15">
        <v>2257.7800000000002</v>
      </c>
      <c r="N15">
        <f t="shared" si="0"/>
        <v>1</v>
      </c>
      <c r="O15">
        <f t="shared" si="1"/>
        <v>1</v>
      </c>
      <c r="P15">
        <f t="shared" si="2"/>
        <v>1.4221000000000003E-2</v>
      </c>
    </row>
    <row r="16" spans="1:19" x14ac:dyDescent="0.3">
      <c r="A16" t="s">
        <v>149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5.0000000000000001E-3</v>
      </c>
      <c r="I16">
        <v>1.1091E-2</v>
      </c>
      <c r="J16">
        <v>8.3219999999999995E-3</v>
      </c>
      <c r="K16">
        <v>1232.0999999999999</v>
      </c>
      <c r="L16">
        <v>42.58</v>
      </c>
      <c r="N16">
        <f t="shared" si="0"/>
        <v>1</v>
      </c>
      <c r="O16">
        <f t="shared" si="1"/>
        <v>1</v>
      </c>
      <c r="P16">
        <f t="shared" si="2"/>
        <v>8.1376666666666663E-3</v>
      </c>
    </row>
    <row r="17" spans="1:16" x14ac:dyDescent="0.3">
      <c r="A17" t="s">
        <v>138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5.0000000000000001E-3</v>
      </c>
      <c r="I17">
        <v>5.0000000000000001E-3</v>
      </c>
      <c r="J17">
        <v>5.0000000000000001E-3</v>
      </c>
      <c r="K17">
        <v>4473.3</v>
      </c>
      <c r="L17">
        <v>2295.36</v>
      </c>
      <c r="N17">
        <f t="shared" si="0"/>
        <v>1</v>
      </c>
      <c r="O17">
        <f t="shared" si="1"/>
        <v>1</v>
      </c>
      <c r="P17">
        <f t="shared" si="2"/>
        <v>5.0000000000000001E-3</v>
      </c>
    </row>
    <row r="18" spans="1:16" x14ac:dyDescent="0.3">
      <c r="A18" t="s">
        <v>150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5.0000000000000001E-3</v>
      </c>
      <c r="I18">
        <v>5.0000000000000001E-3</v>
      </c>
      <c r="J18">
        <v>5.0000000000000001E-3</v>
      </c>
      <c r="K18">
        <v>1428.2</v>
      </c>
      <c r="L18">
        <v>49.86</v>
      </c>
      <c r="N18">
        <f t="shared" si="0"/>
        <v>1</v>
      </c>
      <c r="O18">
        <f t="shared" si="1"/>
        <v>1</v>
      </c>
      <c r="P18">
        <f t="shared" si="2"/>
        <v>5.0000000000000001E-3</v>
      </c>
    </row>
    <row r="19" spans="1:16" x14ac:dyDescent="0.3">
      <c r="A19" t="s">
        <v>151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5.0000000000000001E-3</v>
      </c>
      <c r="I19">
        <v>5.0000000000000001E-3</v>
      </c>
      <c r="J19">
        <v>5.0000000000000001E-3</v>
      </c>
      <c r="K19">
        <v>4649.8</v>
      </c>
      <c r="L19">
        <v>2307.84</v>
      </c>
      <c r="N19">
        <f t="shared" si="0"/>
        <v>1</v>
      </c>
      <c r="O19">
        <f t="shared" si="1"/>
        <v>1</v>
      </c>
      <c r="P19">
        <f t="shared" si="2"/>
        <v>5.0000000000000001E-3</v>
      </c>
    </row>
    <row r="20" spans="1:16" x14ac:dyDescent="0.3">
      <c r="A20" t="s">
        <v>152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0.50170000000000003</v>
      </c>
      <c r="I20">
        <v>0.53102400000000005</v>
      </c>
      <c r="J20">
        <v>0.51275199999999999</v>
      </c>
      <c r="K20">
        <v>1553.9</v>
      </c>
      <c r="L20">
        <v>36.909999999999997</v>
      </c>
      <c r="N20">
        <f t="shared" si="0"/>
        <v>1</v>
      </c>
      <c r="O20">
        <f t="shared" si="1"/>
        <v>1</v>
      </c>
      <c r="P20">
        <f t="shared" si="2"/>
        <v>0.51515866666666665</v>
      </c>
    </row>
    <row r="21" spans="1:16" x14ac:dyDescent="0.3">
      <c r="A21" t="s">
        <v>153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0.16011600000000001</v>
      </c>
      <c r="I21">
        <v>0.16170000000000001</v>
      </c>
      <c r="J21">
        <v>0.15117900000000001</v>
      </c>
      <c r="K21">
        <v>4730.8999999999996</v>
      </c>
      <c r="L21">
        <v>2296.56</v>
      </c>
      <c r="N21">
        <f t="shared" si="0"/>
        <v>1</v>
      </c>
      <c r="O21">
        <f t="shared" si="1"/>
        <v>1</v>
      </c>
      <c r="P21">
        <f t="shared" si="2"/>
        <v>0.157665</v>
      </c>
    </row>
    <row r="22" spans="1:16" x14ac:dyDescent="0.3">
      <c r="A22" t="s">
        <v>154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5.0000000000000001E-3</v>
      </c>
      <c r="I22">
        <v>6.6610000000000003E-3</v>
      </c>
      <c r="J22">
        <v>5.0000000000000001E-3</v>
      </c>
      <c r="K22">
        <v>1590.9</v>
      </c>
      <c r="L22">
        <v>43.34</v>
      </c>
      <c r="N22">
        <f t="shared" si="0"/>
        <v>1</v>
      </c>
      <c r="O22">
        <f t="shared" si="1"/>
        <v>1</v>
      </c>
      <c r="P22">
        <f t="shared" si="2"/>
        <v>5.5536666666666677E-3</v>
      </c>
    </row>
    <row r="23" spans="1:16" x14ac:dyDescent="0.3">
      <c r="A23" t="s">
        <v>155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5.0000000000000001E-3</v>
      </c>
      <c r="I23">
        <v>5.0000000000000001E-3</v>
      </c>
      <c r="J23">
        <v>5.0000000000000001E-3</v>
      </c>
      <c r="K23">
        <v>4841.3999999999996</v>
      </c>
      <c r="L23">
        <v>2316.14</v>
      </c>
      <c r="N23">
        <f t="shared" si="0"/>
        <v>1</v>
      </c>
      <c r="O23">
        <f t="shared" si="1"/>
        <v>1</v>
      </c>
      <c r="P23">
        <f t="shared" si="2"/>
        <v>5.0000000000000001E-3</v>
      </c>
    </row>
    <row r="24" spans="1:16" x14ac:dyDescent="0.3">
      <c r="A24" t="s">
        <v>156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5.0000000000000001E-3</v>
      </c>
      <c r="I24">
        <v>5.0000000000000001E-3</v>
      </c>
      <c r="J24">
        <v>5.0000000000000001E-3</v>
      </c>
      <c r="K24">
        <v>1428.9</v>
      </c>
      <c r="L24">
        <v>40.11</v>
      </c>
      <c r="N24">
        <f t="shared" si="0"/>
        <v>1</v>
      </c>
      <c r="O24">
        <f t="shared" si="1"/>
        <v>1</v>
      </c>
      <c r="P24">
        <f t="shared" si="2"/>
        <v>5.0000000000000001E-3</v>
      </c>
    </row>
    <row r="25" spans="1:16" x14ac:dyDescent="0.3">
      <c r="A25" t="s">
        <v>157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5.0000000000000001E-3</v>
      </c>
      <c r="I25">
        <v>5.0000000000000001E-3</v>
      </c>
      <c r="J25">
        <v>5.0000000000000001E-3</v>
      </c>
      <c r="K25">
        <v>5110.7</v>
      </c>
      <c r="L25">
        <v>2415.44</v>
      </c>
      <c r="N25">
        <f t="shared" si="0"/>
        <v>1</v>
      </c>
      <c r="O25">
        <f t="shared" si="1"/>
        <v>1</v>
      </c>
      <c r="P25">
        <f t="shared" si="2"/>
        <v>5.0000000000000001E-3</v>
      </c>
    </row>
    <row r="26" spans="1:16" x14ac:dyDescent="0.3">
      <c r="A26" t="s">
        <v>158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5.0000000000000001E-3</v>
      </c>
      <c r="I26">
        <v>5.0000000000000001E-3</v>
      </c>
      <c r="J26">
        <v>5.0000000000000001E-3</v>
      </c>
      <c r="K26">
        <v>1980.9</v>
      </c>
      <c r="L26">
        <v>51.89</v>
      </c>
      <c r="N26">
        <f t="shared" si="0"/>
        <v>1</v>
      </c>
      <c r="O26">
        <f t="shared" si="1"/>
        <v>1</v>
      </c>
      <c r="P26">
        <f t="shared" si="2"/>
        <v>5.0000000000000001E-3</v>
      </c>
    </row>
    <row r="27" spans="1:16" x14ac:dyDescent="0.3">
      <c r="A27" t="s">
        <v>159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5.0000000000000001E-3</v>
      </c>
      <c r="I27">
        <v>5.0000000000000001E-3</v>
      </c>
      <c r="J27">
        <v>5.0000000000000001E-3</v>
      </c>
      <c r="K27">
        <v>5108.7</v>
      </c>
      <c r="L27">
        <v>2876.95</v>
      </c>
      <c r="N27">
        <f t="shared" si="0"/>
        <v>1</v>
      </c>
      <c r="O27">
        <f t="shared" si="1"/>
        <v>1</v>
      </c>
      <c r="P27">
        <f t="shared" si="2"/>
        <v>5.0000000000000001E-3</v>
      </c>
    </row>
    <row r="28" spans="1:16" x14ac:dyDescent="0.3">
      <c r="A28" t="s">
        <v>160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0.10731</v>
      </c>
      <c r="I28">
        <v>0.15117900000000001</v>
      </c>
      <c r="J28">
        <v>0.12737000000000001</v>
      </c>
      <c r="K28">
        <v>1969.7</v>
      </c>
      <c r="L28">
        <v>40.380000000000003</v>
      </c>
      <c r="N28">
        <f t="shared" si="0"/>
        <v>1</v>
      </c>
      <c r="O28">
        <f t="shared" si="1"/>
        <v>1</v>
      </c>
      <c r="P28">
        <f t="shared" si="2"/>
        <v>0.12861966666666669</v>
      </c>
    </row>
    <row r="29" spans="1:16" x14ac:dyDescent="0.3">
      <c r="A29" t="s">
        <v>161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5.0000000000000001E-3</v>
      </c>
      <c r="I29">
        <v>5.0000000000000001E-3</v>
      </c>
      <c r="J29">
        <v>5.0000000000000001E-3</v>
      </c>
      <c r="K29">
        <v>3127.7</v>
      </c>
      <c r="L29">
        <v>2362.02</v>
      </c>
      <c r="N29">
        <f t="shared" si="0"/>
        <v>1</v>
      </c>
      <c r="O29">
        <f t="shared" si="1"/>
        <v>1</v>
      </c>
      <c r="P29">
        <f t="shared" si="2"/>
        <v>5.0000000000000001E-3</v>
      </c>
    </row>
    <row r="30" spans="1:16" x14ac:dyDescent="0.3">
      <c r="A30" t="s">
        <v>162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5.0000000000000001E-3</v>
      </c>
      <c r="I30">
        <v>5.0000000000000001E-3</v>
      </c>
      <c r="J30">
        <v>5.0000000000000001E-3</v>
      </c>
      <c r="K30">
        <v>692.1</v>
      </c>
      <c r="L30">
        <v>44.22</v>
      </c>
      <c r="N30">
        <f t="shared" si="0"/>
        <v>1</v>
      </c>
      <c r="O30">
        <f t="shared" si="1"/>
        <v>1</v>
      </c>
      <c r="P30">
        <f t="shared" si="2"/>
        <v>5.0000000000000001E-3</v>
      </c>
    </row>
    <row r="31" spans="1:16" x14ac:dyDescent="0.3">
      <c r="A31" t="s">
        <v>163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5.0000000000000001E-3</v>
      </c>
      <c r="I31">
        <v>5.0000000000000001E-3</v>
      </c>
      <c r="J31">
        <v>5.0000000000000001E-3</v>
      </c>
      <c r="K31">
        <v>3690.8</v>
      </c>
      <c r="L31">
        <v>2319.14</v>
      </c>
      <c r="N31">
        <f t="shared" si="0"/>
        <v>1</v>
      </c>
      <c r="O31">
        <f t="shared" si="1"/>
        <v>1</v>
      </c>
      <c r="P31">
        <f t="shared" si="2"/>
        <v>5.0000000000000001E-3</v>
      </c>
    </row>
    <row r="32" spans="1:16" x14ac:dyDescent="0.3">
      <c r="A32" t="s">
        <v>164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5.0000000000000001E-3</v>
      </c>
      <c r="I32">
        <v>5.0000000000000001E-3</v>
      </c>
      <c r="J32">
        <v>5.0000000000000001E-3</v>
      </c>
      <c r="K32">
        <v>846</v>
      </c>
      <c r="L32">
        <v>51.8</v>
      </c>
      <c r="N32">
        <f t="shared" si="0"/>
        <v>1</v>
      </c>
      <c r="O32">
        <f t="shared" si="1"/>
        <v>1</v>
      </c>
      <c r="P32">
        <f t="shared" si="2"/>
        <v>5.0000000000000001E-3</v>
      </c>
    </row>
    <row r="33" spans="1:19" x14ac:dyDescent="0.3">
      <c r="A33" t="s">
        <v>165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5.0000000000000001E-3</v>
      </c>
      <c r="I33">
        <v>5.0000000000000001E-3</v>
      </c>
      <c r="J33">
        <v>5.0000000000000001E-3</v>
      </c>
      <c r="K33">
        <v>3953.8</v>
      </c>
      <c r="L33">
        <v>2878.89</v>
      </c>
      <c r="N33">
        <f t="shared" si="0"/>
        <v>1</v>
      </c>
      <c r="O33">
        <f t="shared" si="1"/>
        <v>1</v>
      </c>
      <c r="P33">
        <f t="shared" si="2"/>
        <v>5.0000000000000001E-3</v>
      </c>
    </row>
    <row r="34" spans="1:19" x14ac:dyDescent="0.3">
      <c r="A34" t="s">
        <v>166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5.0000000000000001E-3</v>
      </c>
      <c r="I34">
        <v>5.5539999999999999E-3</v>
      </c>
      <c r="J34">
        <v>6.1069999999999996E-3</v>
      </c>
      <c r="K34">
        <v>2372.1999999999998</v>
      </c>
      <c r="L34">
        <v>67.86</v>
      </c>
      <c r="N34">
        <f t="shared" si="0"/>
        <v>1</v>
      </c>
      <c r="O34">
        <f t="shared" si="1"/>
        <v>1</v>
      </c>
      <c r="P34">
        <f t="shared" si="2"/>
        <v>5.5536666666666677E-3</v>
      </c>
    </row>
    <row r="35" spans="1:19" x14ac:dyDescent="0.3">
      <c r="A35" t="s">
        <v>167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5.0000000000000001E-3</v>
      </c>
      <c r="I35">
        <v>5.0000000000000001E-3</v>
      </c>
      <c r="J35">
        <v>5.0000000000000001E-3</v>
      </c>
      <c r="K35">
        <v>4552.8999999999996</v>
      </c>
      <c r="L35">
        <v>4557.0600000000004</v>
      </c>
      <c r="N35">
        <f t="shared" si="0"/>
        <v>1</v>
      </c>
      <c r="O35">
        <f t="shared" si="1"/>
        <v>1</v>
      </c>
      <c r="P35">
        <f t="shared" si="2"/>
        <v>5.0000000000000001E-3</v>
      </c>
    </row>
    <row r="38" spans="1:19" x14ac:dyDescent="0.3">
      <c r="A38" t="s">
        <v>34</v>
      </c>
    </row>
    <row r="39" spans="1:19" x14ac:dyDescent="0.3">
      <c r="C39" t="s">
        <v>6</v>
      </c>
      <c r="F39" t="s">
        <v>7</v>
      </c>
      <c r="I39" t="s">
        <v>8</v>
      </c>
      <c r="O39" t="s">
        <v>83</v>
      </c>
      <c r="R39" t="s">
        <v>84</v>
      </c>
    </row>
    <row r="40" spans="1:19" x14ac:dyDescent="0.3">
      <c r="A40" t="s">
        <v>85</v>
      </c>
      <c r="B40" t="s">
        <v>86</v>
      </c>
      <c r="C40" t="s">
        <v>88</v>
      </c>
      <c r="D40" t="s">
        <v>90</v>
      </c>
      <c r="E40" t="s">
        <v>92</v>
      </c>
      <c r="F40" t="s">
        <v>93</v>
      </c>
      <c r="G40" t="s">
        <v>94</v>
      </c>
      <c r="H40" t="s">
        <v>92</v>
      </c>
      <c r="I40" t="s">
        <v>93</v>
      </c>
      <c r="J40" t="s">
        <v>94</v>
      </c>
      <c r="K40" t="s">
        <v>95</v>
      </c>
      <c r="L40" t="s">
        <v>96</v>
      </c>
      <c r="N40" t="s">
        <v>129</v>
      </c>
      <c r="O40" t="s">
        <v>108</v>
      </c>
      <c r="P40" t="s">
        <v>109</v>
      </c>
      <c r="Q40" t="s">
        <v>6</v>
      </c>
      <c r="R40" t="s">
        <v>7</v>
      </c>
      <c r="S40" t="s">
        <v>8</v>
      </c>
    </row>
    <row r="41" spans="1:19" x14ac:dyDescent="0.3">
      <c r="A41" t="s">
        <v>135</v>
      </c>
      <c r="B41">
        <v>0.23300000000000001</v>
      </c>
      <c r="C41">
        <v>0.23899999999999999</v>
      </c>
      <c r="D41">
        <v>0.249</v>
      </c>
      <c r="E41">
        <v>0.25304540420819399</v>
      </c>
      <c r="F41">
        <v>0.28073089700996601</v>
      </c>
      <c r="G41">
        <v>0.28626799557032101</v>
      </c>
      <c r="H41">
        <v>0.19492200000000001</v>
      </c>
      <c r="I41">
        <v>0.19769100000000001</v>
      </c>
      <c r="J41">
        <v>0.20876500000000001</v>
      </c>
      <c r="K41">
        <v>1280.9000000000001</v>
      </c>
      <c r="L41">
        <v>54.83</v>
      </c>
      <c r="N41">
        <f t="shared" ref="N41:N72" si="3">AVERAGE(B41:D41)</f>
        <v>0.24033333333333332</v>
      </c>
      <c r="O41">
        <f t="shared" ref="O41:O72" si="4">AVERAGE(E41:G41)</f>
        <v>0.27334809892949369</v>
      </c>
      <c r="P41">
        <f t="shared" ref="P41:P72" si="5">AVERAGE(H41:J41)</f>
        <v>0.20045933333333332</v>
      </c>
      <c r="Q41">
        <f>MIN(N41:N72)</f>
        <v>0.24033333333333332</v>
      </c>
      <c r="R41">
        <f>MIN(O41:O72)</f>
        <v>0.27334809892949369</v>
      </c>
      <c r="S41">
        <f>MIN(P41:P72)</f>
        <v>5.0000000000000001E-3</v>
      </c>
    </row>
    <row r="42" spans="1:19" x14ac:dyDescent="0.3">
      <c r="A42" t="s">
        <v>136</v>
      </c>
      <c r="B42">
        <v>0.252</v>
      </c>
      <c r="C42">
        <v>0.25900000000000001</v>
      </c>
      <c r="D42">
        <v>0.26200000000000001</v>
      </c>
      <c r="E42">
        <v>0.29014396456256902</v>
      </c>
      <c r="F42">
        <v>0.29125138427463998</v>
      </c>
      <c r="G42">
        <v>0.30564784053156102</v>
      </c>
      <c r="H42">
        <v>0.20046</v>
      </c>
      <c r="I42">
        <v>0.20544299999999999</v>
      </c>
      <c r="J42">
        <v>0.21098</v>
      </c>
      <c r="K42">
        <v>3449</v>
      </c>
      <c r="L42">
        <v>3903.53</v>
      </c>
      <c r="N42">
        <f t="shared" si="3"/>
        <v>0.25766666666666665</v>
      </c>
      <c r="O42">
        <f t="shared" si="4"/>
        <v>0.29568106312292336</v>
      </c>
      <c r="P42">
        <f t="shared" si="5"/>
        <v>0.20562766666666668</v>
      </c>
      <c r="Q42" t="s">
        <v>137</v>
      </c>
      <c r="R42" t="s">
        <v>137</v>
      </c>
      <c r="S42" t="s">
        <v>151</v>
      </c>
    </row>
    <row r="43" spans="1:19" x14ac:dyDescent="0.3">
      <c r="A43" t="s">
        <v>139</v>
      </c>
      <c r="B43">
        <v>0.61499999999999999</v>
      </c>
      <c r="C43">
        <v>0.57799999999999996</v>
      </c>
      <c r="D43">
        <v>0.63500000000000001</v>
      </c>
      <c r="E43">
        <v>0.59523809523809501</v>
      </c>
      <c r="F43">
        <v>0.56699889258028702</v>
      </c>
      <c r="G43">
        <v>0.61406423034330004</v>
      </c>
      <c r="H43">
        <v>0.371556</v>
      </c>
      <c r="I43">
        <v>0.35605199999999998</v>
      </c>
      <c r="J43">
        <v>0.37432399999999999</v>
      </c>
      <c r="K43">
        <v>700.6</v>
      </c>
      <c r="L43">
        <v>67.17</v>
      </c>
      <c r="N43">
        <f t="shared" si="3"/>
        <v>0.60933333333333339</v>
      </c>
      <c r="O43">
        <f t="shared" si="4"/>
        <v>0.59210040605389402</v>
      </c>
      <c r="P43">
        <f t="shared" si="5"/>
        <v>0.36731066666666673</v>
      </c>
    </row>
    <row r="44" spans="1:19" x14ac:dyDescent="0.3">
      <c r="A44" t="s">
        <v>140</v>
      </c>
      <c r="B44">
        <v>0.69399999999999995</v>
      </c>
      <c r="C44">
        <v>0.67800000000000005</v>
      </c>
      <c r="D44">
        <v>0.73399999999999999</v>
      </c>
      <c r="E44">
        <v>0.69213732004429596</v>
      </c>
      <c r="F44">
        <v>0.67884828349944604</v>
      </c>
      <c r="G44">
        <v>0.72314507198228095</v>
      </c>
      <c r="H44">
        <v>0.414192</v>
      </c>
      <c r="I44">
        <v>0.39038200000000001</v>
      </c>
      <c r="J44">
        <v>0.426373</v>
      </c>
      <c r="K44">
        <v>4080.8</v>
      </c>
      <c r="L44">
        <v>3926.33</v>
      </c>
      <c r="N44">
        <f t="shared" si="3"/>
        <v>0.70199999999999996</v>
      </c>
      <c r="O44">
        <f t="shared" si="4"/>
        <v>0.69804355850867428</v>
      </c>
      <c r="P44">
        <f t="shared" si="5"/>
        <v>0.41031566666666669</v>
      </c>
    </row>
    <row r="45" spans="1:19" x14ac:dyDescent="0.3">
      <c r="A45" t="s">
        <v>141</v>
      </c>
      <c r="B45">
        <v>0.997</v>
      </c>
      <c r="C45">
        <v>0.997</v>
      </c>
      <c r="D45">
        <v>0.997</v>
      </c>
      <c r="E45">
        <v>0.99667774086378702</v>
      </c>
      <c r="F45">
        <v>0.99667774086378702</v>
      </c>
      <c r="G45">
        <v>0.99667774086378702</v>
      </c>
      <c r="H45">
        <v>0.91086900000000004</v>
      </c>
      <c r="I45">
        <v>0.89702700000000002</v>
      </c>
      <c r="J45">
        <v>0.91640600000000005</v>
      </c>
      <c r="K45">
        <v>1011.4</v>
      </c>
      <c r="L45">
        <v>73.94</v>
      </c>
      <c r="N45">
        <f t="shared" si="3"/>
        <v>0.997</v>
      </c>
      <c r="O45">
        <f t="shared" si="4"/>
        <v>0.99667774086378691</v>
      </c>
      <c r="P45">
        <f t="shared" si="5"/>
        <v>0.90810066666666656</v>
      </c>
    </row>
    <row r="46" spans="1:19" x14ac:dyDescent="0.3">
      <c r="A46" t="s">
        <v>142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0.99337200000000003</v>
      </c>
      <c r="I46">
        <v>0.99669399999999997</v>
      </c>
      <c r="J46">
        <v>0.99392599999999998</v>
      </c>
      <c r="K46">
        <v>4519.8999999999996</v>
      </c>
      <c r="L46">
        <v>4203.87</v>
      </c>
      <c r="N46">
        <f t="shared" si="3"/>
        <v>1</v>
      </c>
      <c r="O46">
        <f t="shared" si="4"/>
        <v>1</v>
      </c>
      <c r="P46">
        <f t="shared" si="5"/>
        <v>0.9946640000000001</v>
      </c>
    </row>
    <row r="47" spans="1:19" x14ac:dyDescent="0.3">
      <c r="A47" t="s">
        <v>143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0.76524400000000004</v>
      </c>
      <c r="I47">
        <v>0.76192099999999996</v>
      </c>
      <c r="J47">
        <v>0.74807900000000005</v>
      </c>
      <c r="K47">
        <v>1283.2</v>
      </c>
      <c r="L47">
        <v>86.95</v>
      </c>
      <c r="N47">
        <f t="shared" si="3"/>
        <v>1</v>
      </c>
      <c r="O47">
        <f t="shared" si="4"/>
        <v>1</v>
      </c>
      <c r="P47">
        <f t="shared" si="5"/>
        <v>0.75841466666666679</v>
      </c>
    </row>
    <row r="48" spans="1:19" x14ac:dyDescent="0.3">
      <c r="A48" t="s">
        <v>144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0.59304000000000001</v>
      </c>
      <c r="I48">
        <v>0.59027099999999999</v>
      </c>
      <c r="J48">
        <v>0.63069200000000003</v>
      </c>
      <c r="K48">
        <v>4616.2</v>
      </c>
      <c r="L48">
        <v>3988.14</v>
      </c>
      <c r="N48">
        <f t="shared" si="3"/>
        <v>1</v>
      </c>
      <c r="O48">
        <f t="shared" si="4"/>
        <v>1</v>
      </c>
      <c r="P48">
        <f t="shared" si="5"/>
        <v>0.60466766666666671</v>
      </c>
    </row>
    <row r="49" spans="1:16" x14ac:dyDescent="0.3">
      <c r="A49" t="s">
        <v>145</v>
      </c>
      <c r="B49">
        <v>0.66100000000000003</v>
      </c>
      <c r="C49">
        <v>0.63800000000000001</v>
      </c>
      <c r="D49">
        <v>0.66400000000000003</v>
      </c>
      <c r="E49">
        <v>0.64839424141749702</v>
      </c>
      <c r="F49">
        <v>0.61849390919158298</v>
      </c>
      <c r="G49">
        <v>0.64174972314507195</v>
      </c>
      <c r="H49">
        <v>0.37653900000000001</v>
      </c>
      <c r="I49">
        <v>0.36989499999999997</v>
      </c>
      <c r="J49">
        <v>0.39647300000000002</v>
      </c>
      <c r="K49">
        <v>1349.4</v>
      </c>
      <c r="L49">
        <v>64.36</v>
      </c>
      <c r="N49">
        <f t="shared" si="3"/>
        <v>0.65433333333333332</v>
      </c>
      <c r="O49">
        <f t="shared" si="4"/>
        <v>0.63621262458471739</v>
      </c>
      <c r="P49">
        <f t="shared" si="5"/>
        <v>0.38096900000000006</v>
      </c>
    </row>
    <row r="50" spans="1:16" x14ac:dyDescent="0.3">
      <c r="A50" t="s">
        <v>146</v>
      </c>
      <c r="B50">
        <v>0.74399999999999999</v>
      </c>
      <c r="C50">
        <v>0.72799999999999998</v>
      </c>
      <c r="D50">
        <v>0.74099999999999999</v>
      </c>
      <c r="E50">
        <v>0.73920265780730898</v>
      </c>
      <c r="F50">
        <v>0.71428571428571397</v>
      </c>
      <c r="G50">
        <v>0.73255813953488302</v>
      </c>
      <c r="H50">
        <v>0.52548700000000004</v>
      </c>
      <c r="I50">
        <v>0.49946299999999999</v>
      </c>
      <c r="J50">
        <v>0.50444599999999995</v>
      </c>
      <c r="K50">
        <v>4777.3999999999996</v>
      </c>
      <c r="L50">
        <v>4069.28</v>
      </c>
      <c r="N50">
        <f t="shared" si="3"/>
        <v>0.73766666666666669</v>
      </c>
      <c r="O50">
        <f t="shared" si="4"/>
        <v>0.72868217054263529</v>
      </c>
      <c r="P50">
        <f t="shared" si="5"/>
        <v>0.50979866666666662</v>
      </c>
    </row>
    <row r="51" spans="1:16" x14ac:dyDescent="0.3">
      <c r="A51" t="s">
        <v>147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0.87321700000000002</v>
      </c>
      <c r="I51">
        <v>0.86601899999999998</v>
      </c>
      <c r="J51">
        <v>0.88705999999999996</v>
      </c>
      <c r="K51">
        <v>1511.8</v>
      </c>
      <c r="L51">
        <v>73.53</v>
      </c>
      <c r="N51">
        <f t="shared" si="3"/>
        <v>1</v>
      </c>
      <c r="O51">
        <f t="shared" si="4"/>
        <v>1</v>
      </c>
      <c r="P51">
        <f t="shared" si="5"/>
        <v>0.87543199999999999</v>
      </c>
    </row>
    <row r="52" spans="1:16" x14ac:dyDescent="0.3">
      <c r="A52" t="s">
        <v>148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0.656717</v>
      </c>
      <c r="I52">
        <v>0.66114600000000001</v>
      </c>
      <c r="J52">
        <v>0.70433599999999996</v>
      </c>
      <c r="K52">
        <v>5126.8999999999996</v>
      </c>
      <c r="L52">
        <v>4180.5200000000004</v>
      </c>
      <c r="N52">
        <f t="shared" si="3"/>
        <v>1</v>
      </c>
      <c r="O52">
        <f t="shared" si="4"/>
        <v>1</v>
      </c>
      <c r="P52">
        <f t="shared" si="5"/>
        <v>0.67406633333333332</v>
      </c>
    </row>
    <row r="53" spans="1:16" x14ac:dyDescent="0.3">
      <c r="A53" t="s">
        <v>149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0.18495600000000001</v>
      </c>
      <c r="I53">
        <v>0.18329500000000001</v>
      </c>
      <c r="J53">
        <v>0.18550900000000001</v>
      </c>
      <c r="K53">
        <v>1958.8</v>
      </c>
      <c r="L53">
        <v>167.86</v>
      </c>
      <c r="N53">
        <f t="shared" si="3"/>
        <v>1</v>
      </c>
      <c r="O53">
        <f t="shared" si="4"/>
        <v>1</v>
      </c>
      <c r="P53">
        <f t="shared" si="5"/>
        <v>0.18458666666666668</v>
      </c>
    </row>
    <row r="54" spans="1:16" x14ac:dyDescent="0.3">
      <c r="A54" t="s">
        <v>138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1.8289E-2</v>
      </c>
      <c r="I54">
        <v>1.5520000000000001E-2</v>
      </c>
      <c r="J54">
        <v>1.8289E-2</v>
      </c>
      <c r="K54">
        <v>5417</v>
      </c>
      <c r="L54">
        <v>4232.5</v>
      </c>
      <c r="N54">
        <f t="shared" si="3"/>
        <v>1</v>
      </c>
      <c r="O54">
        <f t="shared" si="4"/>
        <v>1</v>
      </c>
      <c r="P54">
        <f t="shared" si="5"/>
        <v>1.7365999999999999E-2</v>
      </c>
    </row>
    <row r="55" spans="1:16" x14ac:dyDescent="0.3">
      <c r="A55" t="s">
        <v>150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2.8809999999999999E-2</v>
      </c>
      <c r="I55">
        <v>3.8223E-2</v>
      </c>
      <c r="J55">
        <v>3.49E-2</v>
      </c>
      <c r="K55">
        <v>2266.6</v>
      </c>
      <c r="L55">
        <v>300.55</v>
      </c>
      <c r="N55">
        <f t="shared" si="3"/>
        <v>1</v>
      </c>
      <c r="O55">
        <f t="shared" si="4"/>
        <v>1</v>
      </c>
      <c r="P55">
        <f t="shared" si="5"/>
        <v>3.3977666666666663E-2</v>
      </c>
    </row>
    <row r="56" spans="1:16" x14ac:dyDescent="0.3">
      <c r="A56" t="s">
        <v>151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5.0000000000000001E-3</v>
      </c>
      <c r="I56">
        <v>5.0000000000000001E-3</v>
      </c>
      <c r="J56">
        <v>5.0000000000000001E-3</v>
      </c>
      <c r="K56">
        <v>5803</v>
      </c>
      <c r="L56">
        <v>4398.92</v>
      </c>
      <c r="N56">
        <f t="shared" si="3"/>
        <v>1</v>
      </c>
      <c r="O56">
        <f t="shared" si="4"/>
        <v>1</v>
      </c>
      <c r="P56">
        <f t="shared" si="5"/>
        <v>5.0000000000000001E-3</v>
      </c>
    </row>
    <row r="57" spans="1:16" x14ac:dyDescent="0.3">
      <c r="A57" t="s">
        <v>152</v>
      </c>
      <c r="B57">
        <v>0.997</v>
      </c>
      <c r="C57">
        <v>1</v>
      </c>
      <c r="D57">
        <v>0.997</v>
      </c>
      <c r="E57">
        <v>0.99667774086378702</v>
      </c>
      <c r="F57">
        <v>1</v>
      </c>
      <c r="G57">
        <v>0.99667774086378702</v>
      </c>
      <c r="H57">
        <v>0.89702700000000002</v>
      </c>
      <c r="I57">
        <v>0.88484499999999999</v>
      </c>
      <c r="J57">
        <v>0.88982799999999995</v>
      </c>
      <c r="K57">
        <v>2709.8</v>
      </c>
      <c r="L57">
        <v>129.38999999999999</v>
      </c>
      <c r="N57">
        <f t="shared" si="3"/>
        <v>0.99799999999999989</v>
      </c>
      <c r="O57">
        <f t="shared" si="4"/>
        <v>0.99778516057585798</v>
      </c>
      <c r="P57">
        <f t="shared" si="5"/>
        <v>0.89056666666666662</v>
      </c>
    </row>
    <row r="58" spans="1:16" x14ac:dyDescent="0.3">
      <c r="A58" t="s">
        <v>153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0.99503299999999995</v>
      </c>
      <c r="I58">
        <v>0.98949600000000004</v>
      </c>
      <c r="J58">
        <v>0.98451299999999997</v>
      </c>
      <c r="K58">
        <v>5748.5</v>
      </c>
      <c r="L58">
        <v>4235.8100000000004</v>
      </c>
      <c r="N58">
        <f t="shared" si="3"/>
        <v>1</v>
      </c>
      <c r="O58">
        <f t="shared" si="4"/>
        <v>1</v>
      </c>
      <c r="P58">
        <f t="shared" si="5"/>
        <v>0.98968066666666665</v>
      </c>
    </row>
    <row r="59" spans="1:16" x14ac:dyDescent="0.3">
      <c r="A59" t="s">
        <v>154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7.1998999999999994E-2</v>
      </c>
      <c r="I59">
        <v>8.5288000000000003E-2</v>
      </c>
      <c r="J59">
        <v>7.9751000000000002E-2</v>
      </c>
      <c r="K59">
        <v>2752.6</v>
      </c>
      <c r="L59">
        <v>75.67</v>
      </c>
      <c r="N59">
        <f t="shared" si="3"/>
        <v>1</v>
      </c>
      <c r="O59">
        <f t="shared" si="4"/>
        <v>1</v>
      </c>
      <c r="P59">
        <f t="shared" si="5"/>
        <v>7.9012666666666675E-2</v>
      </c>
    </row>
    <row r="60" spans="1:16" x14ac:dyDescent="0.3">
      <c r="A60" t="s">
        <v>155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6.6610000000000003E-3</v>
      </c>
      <c r="I60">
        <v>8.3219999999999995E-3</v>
      </c>
      <c r="J60">
        <v>7.2150000000000001E-3</v>
      </c>
      <c r="K60">
        <v>6129.9</v>
      </c>
      <c r="L60">
        <v>4765.83</v>
      </c>
      <c r="N60">
        <f t="shared" si="3"/>
        <v>1</v>
      </c>
      <c r="O60">
        <f t="shared" si="4"/>
        <v>1</v>
      </c>
      <c r="P60">
        <f t="shared" si="5"/>
        <v>7.3993333333333333E-3</v>
      </c>
    </row>
    <row r="61" spans="1:16" x14ac:dyDescent="0.3">
      <c r="A61" t="s">
        <v>156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5.0000000000000001E-3</v>
      </c>
      <c r="I61">
        <v>5.0000000000000001E-3</v>
      </c>
      <c r="J61">
        <v>5.0000000000000001E-3</v>
      </c>
      <c r="K61">
        <v>3099.1</v>
      </c>
      <c r="L61">
        <v>86.17</v>
      </c>
      <c r="N61">
        <f t="shared" si="3"/>
        <v>1</v>
      </c>
      <c r="O61">
        <f t="shared" si="4"/>
        <v>1</v>
      </c>
      <c r="P61">
        <f t="shared" si="5"/>
        <v>5.0000000000000001E-3</v>
      </c>
    </row>
    <row r="62" spans="1:16" x14ac:dyDescent="0.3">
      <c r="A62" t="s">
        <v>157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5.0000000000000001E-3</v>
      </c>
      <c r="I62">
        <v>5.0000000000000001E-3</v>
      </c>
      <c r="J62">
        <v>5.0000000000000001E-3</v>
      </c>
      <c r="K62">
        <v>6345.8</v>
      </c>
      <c r="L62">
        <v>4402.92</v>
      </c>
      <c r="N62">
        <f t="shared" si="3"/>
        <v>1</v>
      </c>
      <c r="O62">
        <f t="shared" si="4"/>
        <v>1</v>
      </c>
      <c r="P62">
        <f t="shared" si="5"/>
        <v>5.0000000000000001E-3</v>
      </c>
    </row>
    <row r="63" spans="1:16" x14ac:dyDescent="0.3">
      <c r="A63" t="s">
        <v>158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5.0000000000000001E-3</v>
      </c>
      <c r="I63">
        <v>5.0000000000000001E-3</v>
      </c>
      <c r="J63">
        <v>5.0000000000000001E-3</v>
      </c>
      <c r="K63">
        <v>3392.6</v>
      </c>
      <c r="L63">
        <v>115.69</v>
      </c>
      <c r="N63">
        <f t="shared" si="3"/>
        <v>1</v>
      </c>
      <c r="O63">
        <f t="shared" si="4"/>
        <v>1</v>
      </c>
      <c r="P63">
        <f t="shared" si="5"/>
        <v>5.0000000000000001E-3</v>
      </c>
    </row>
    <row r="64" spans="1:16" x14ac:dyDescent="0.3">
      <c r="A64" t="s">
        <v>159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5.0000000000000001E-3</v>
      </c>
      <c r="I64">
        <v>5.0000000000000001E-3</v>
      </c>
      <c r="J64">
        <v>5.0000000000000001E-3</v>
      </c>
      <c r="K64">
        <v>6519.3</v>
      </c>
      <c r="L64">
        <v>6036.11</v>
      </c>
      <c r="N64">
        <f t="shared" si="3"/>
        <v>1</v>
      </c>
      <c r="O64">
        <f t="shared" si="4"/>
        <v>1</v>
      </c>
      <c r="P64">
        <f t="shared" si="5"/>
        <v>5.0000000000000001E-3</v>
      </c>
    </row>
    <row r="65" spans="1:19" x14ac:dyDescent="0.3">
      <c r="A65" t="s">
        <v>160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0.68495600000000001</v>
      </c>
      <c r="I65">
        <v>0.68274100000000004</v>
      </c>
      <c r="J65">
        <v>0.66169999999999995</v>
      </c>
      <c r="K65">
        <v>3652.5</v>
      </c>
      <c r="L65">
        <v>81.45</v>
      </c>
      <c r="N65">
        <f t="shared" si="3"/>
        <v>1</v>
      </c>
      <c r="O65">
        <f t="shared" si="4"/>
        <v>1</v>
      </c>
      <c r="P65">
        <f t="shared" si="5"/>
        <v>0.67646566666666674</v>
      </c>
    </row>
    <row r="66" spans="1:19" x14ac:dyDescent="0.3">
      <c r="A66" t="s">
        <v>161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0.36768000000000001</v>
      </c>
      <c r="I66">
        <v>0.36214299999999999</v>
      </c>
      <c r="J66">
        <v>0.394258</v>
      </c>
      <c r="K66">
        <v>6466.9</v>
      </c>
      <c r="L66">
        <v>4156.12</v>
      </c>
      <c r="N66">
        <f t="shared" si="3"/>
        <v>1</v>
      </c>
      <c r="O66">
        <f t="shared" si="4"/>
        <v>1</v>
      </c>
      <c r="P66">
        <f t="shared" si="5"/>
        <v>0.37469366666666665</v>
      </c>
    </row>
    <row r="67" spans="1:19" x14ac:dyDescent="0.3">
      <c r="A67" t="s">
        <v>162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5.0000000000000001E-3</v>
      </c>
      <c r="I67">
        <v>5.0000000000000001E-3</v>
      </c>
      <c r="J67">
        <v>5.0000000000000001E-3</v>
      </c>
      <c r="K67">
        <v>3290.5</v>
      </c>
      <c r="L67">
        <v>93.08</v>
      </c>
      <c r="N67">
        <f t="shared" si="3"/>
        <v>1</v>
      </c>
      <c r="O67">
        <f t="shared" si="4"/>
        <v>1</v>
      </c>
      <c r="P67">
        <f t="shared" si="5"/>
        <v>5.0000000000000001E-3</v>
      </c>
    </row>
    <row r="68" spans="1:19" x14ac:dyDescent="0.3">
      <c r="A68" t="s">
        <v>163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5.0000000000000001E-3</v>
      </c>
      <c r="I68">
        <v>5.0000000000000001E-3</v>
      </c>
      <c r="J68">
        <v>5.0000000000000001E-3</v>
      </c>
      <c r="K68">
        <v>6056.1</v>
      </c>
      <c r="L68">
        <v>4443.2700000000004</v>
      </c>
      <c r="N68">
        <f t="shared" si="3"/>
        <v>1</v>
      </c>
      <c r="O68">
        <f t="shared" si="4"/>
        <v>1</v>
      </c>
      <c r="P68">
        <f t="shared" si="5"/>
        <v>5.0000000000000001E-3</v>
      </c>
    </row>
    <row r="69" spans="1:19" x14ac:dyDescent="0.3">
      <c r="A69" t="s">
        <v>164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5.0000000000000001E-3</v>
      </c>
      <c r="I69">
        <v>5.0000000000000001E-3</v>
      </c>
      <c r="J69">
        <v>5.0000000000000001E-3</v>
      </c>
      <c r="K69">
        <v>3424.3</v>
      </c>
      <c r="L69">
        <v>107.12</v>
      </c>
      <c r="N69">
        <f t="shared" si="3"/>
        <v>1</v>
      </c>
      <c r="O69">
        <f t="shared" si="4"/>
        <v>1</v>
      </c>
      <c r="P69">
        <f t="shared" si="5"/>
        <v>5.0000000000000001E-3</v>
      </c>
    </row>
    <row r="70" spans="1:19" x14ac:dyDescent="0.3">
      <c r="A70" t="s">
        <v>165</v>
      </c>
      <c r="B70">
        <v>0.997</v>
      </c>
      <c r="C70">
        <v>0.997</v>
      </c>
      <c r="D70">
        <v>1</v>
      </c>
      <c r="E70">
        <v>0.99667774086378702</v>
      </c>
      <c r="F70">
        <v>0.99667774086378702</v>
      </c>
      <c r="G70">
        <v>1</v>
      </c>
      <c r="H70">
        <v>5.0000000000000001E-3</v>
      </c>
      <c r="I70">
        <v>5.0000000000000001E-3</v>
      </c>
      <c r="J70">
        <v>5.0000000000000001E-3</v>
      </c>
      <c r="K70">
        <v>5938.4</v>
      </c>
      <c r="L70">
        <v>4944.8900000000003</v>
      </c>
      <c r="N70">
        <f t="shared" si="3"/>
        <v>0.99799999999999989</v>
      </c>
      <c r="O70">
        <f t="shared" si="4"/>
        <v>0.99778516057585798</v>
      </c>
      <c r="P70">
        <f t="shared" si="5"/>
        <v>5.0000000000000001E-3</v>
      </c>
    </row>
    <row r="71" spans="1:19" x14ac:dyDescent="0.3">
      <c r="A71" t="s">
        <v>166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3.5453999999999999E-2</v>
      </c>
      <c r="I71">
        <v>3.6007999999999998E-2</v>
      </c>
      <c r="J71">
        <v>3.9329999999999997E-2</v>
      </c>
      <c r="K71">
        <v>2249.8000000000002</v>
      </c>
      <c r="L71">
        <v>157.16999999999999</v>
      </c>
      <c r="N71">
        <f t="shared" si="3"/>
        <v>1</v>
      </c>
      <c r="O71">
        <f t="shared" si="4"/>
        <v>1</v>
      </c>
      <c r="P71">
        <f t="shared" si="5"/>
        <v>3.6930666666666667E-2</v>
      </c>
    </row>
    <row r="72" spans="1:19" x14ac:dyDescent="0.3">
      <c r="A72" t="s">
        <v>167</v>
      </c>
      <c r="B72">
        <v>1</v>
      </c>
      <c r="C72">
        <v>0.997</v>
      </c>
      <c r="D72">
        <v>1</v>
      </c>
      <c r="E72">
        <v>1</v>
      </c>
      <c r="F72">
        <v>0.99667774086378702</v>
      </c>
      <c r="G72">
        <v>1</v>
      </c>
      <c r="H72">
        <v>5.0000000000000001E-3</v>
      </c>
      <c r="I72">
        <v>5.0000000000000001E-3</v>
      </c>
      <c r="J72">
        <v>6.6610000000000003E-3</v>
      </c>
      <c r="K72">
        <v>6051.4</v>
      </c>
      <c r="L72">
        <v>8475.5300000000007</v>
      </c>
      <c r="N72">
        <f t="shared" si="3"/>
        <v>0.999</v>
      </c>
      <c r="O72">
        <f t="shared" si="4"/>
        <v>0.99889258028792904</v>
      </c>
      <c r="P72">
        <f t="shared" si="5"/>
        <v>5.5536666666666677E-3</v>
      </c>
    </row>
    <row r="75" spans="1:19" x14ac:dyDescent="0.3">
      <c r="A75" t="s">
        <v>35</v>
      </c>
    </row>
    <row r="76" spans="1:19" x14ac:dyDescent="0.3">
      <c r="C76" t="s">
        <v>6</v>
      </c>
      <c r="F76" t="s">
        <v>7</v>
      </c>
      <c r="I76" t="s">
        <v>8</v>
      </c>
      <c r="O76" t="s">
        <v>83</v>
      </c>
      <c r="R76" t="s">
        <v>84</v>
      </c>
    </row>
    <row r="77" spans="1:19" x14ac:dyDescent="0.3">
      <c r="A77" t="s">
        <v>85</v>
      </c>
      <c r="B77" t="s">
        <v>86</v>
      </c>
      <c r="C77" t="s">
        <v>88</v>
      </c>
      <c r="D77" t="s">
        <v>90</v>
      </c>
      <c r="E77" t="s">
        <v>92</v>
      </c>
      <c r="F77" t="s">
        <v>93</v>
      </c>
      <c r="G77" t="s">
        <v>94</v>
      </c>
      <c r="H77" t="s">
        <v>92</v>
      </c>
      <c r="I77" t="s">
        <v>93</v>
      </c>
      <c r="J77" t="s">
        <v>94</v>
      </c>
      <c r="K77" t="s">
        <v>95</v>
      </c>
      <c r="L77" t="s">
        <v>96</v>
      </c>
      <c r="N77" t="s">
        <v>132</v>
      </c>
      <c r="O77" t="s">
        <v>115</v>
      </c>
      <c r="P77" t="s">
        <v>116</v>
      </c>
      <c r="Q77" t="s">
        <v>6</v>
      </c>
      <c r="R77" t="s">
        <v>7</v>
      </c>
      <c r="S77" t="s">
        <v>8</v>
      </c>
    </row>
    <row r="78" spans="1:19" x14ac:dyDescent="0.3">
      <c r="A78" t="s">
        <v>135</v>
      </c>
      <c r="B78">
        <v>0.17899999999999999</v>
      </c>
      <c r="C78">
        <v>0.17599999999999999</v>
      </c>
      <c r="D78">
        <v>0.19600000000000001</v>
      </c>
      <c r="E78">
        <v>0.212070874861572</v>
      </c>
      <c r="F78">
        <v>0.20874861572535899</v>
      </c>
      <c r="G78">
        <v>0.23643410852713101</v>
      </c>
      <c r="H78">
        <v>0.15893099999999999</v>
      </c>
      <c r="I78">
        <v>0.15062600000000001</v>
      </c>
      <c r="J78">
        <v>0.167791</v>
      </c>
      <c r="K78">
        <v>1382.2</v>
      </c>
      <c r="L78">
        <v>71.94</v>
      </c>
      <c r="N78">
        <f t="shared" ref="N78:N109" si="6">AVERAGE(B78:D78)</f>
        <v>0.18366666666666664</v>
      </c>
      <c r="O78">
        <f t="shared" ref="O78:O109" si="7">AVERAGE(E78:G78)</f>
        <v>0.21908453303802067</v>
      </c>
      <c r="P78">
        <f t="shared" ref="P78:P109" si="8">AVERAGE(H78:J78)</f>
        <v>0.15911600000000001</v>
      </c>
      <c r="Q78">
        <f>MIN(N78:N109)</f>
        <v>0.18366666666666664</v>
      </c>
      <c r="R78">
        <f>MIN(O78:O109)</f>
        <v>0.21908453303802067</v>
      </c>
      <c r="S78">
        <f>MIN(P78:P109)</f>
        <v>5.0000000000000001E-3</v>
      </c>
    </row>
    <row r="79" spans="1:19" x14ac:dyDescent="0.3">
      <c r="A79" t="s">
        <v>136</v>
      </c>
      <c r="B79">
        <v>0.186</v>
      </c>
      <c r="C79">
        <v>0.193</v>
      </c>
      <c r="D79">
        <v>0.20599999999999999</v>
      </c>
      <c r="E79">
        <v>0.22203765227021</v>
      </c>
      <c r="F79">
        <v>0.2281284606866</v>
      </c>
      <c r="G79">
        <v>0.23975636766334399</v>
      </c>
      <c r="H79">
        <v>0.15726999999999999</v>
      </c>
      <c r="I79">
        <v>0.16336100000000001</v>
      </c>
      <c r="J79">
        <v>0.17222000000000001</v>
      </c>
      <c r="K79">
        <v>4193.7</v>
      </c>
      <c r="L79">
        <v>5167.72</v>
      </c>
      <c r="N79">
        <f t="shared" si="6"/>
        <v>0.19499999999999998</v>
      </c>
      <c r="O79">
        <f t="shared" si="7"/>
        <v>0.22997416020671799</v>
      </c>
      <c r="P79">
        <f t="shared" si="8"/>
        <v>0.16428366666666669</v>
      </c>
      <c r="Q79" t="s">
        <v>137</v>
      </c>
      <c r="R79" t="s">
        <v>137</v>
      </c>
      <c r="S79" t="s">
        <v>157</v>
      </c>
    </row>
    <row r="80" spans="1:19" x14ac:dyDescent="0.3">
      <c r="A80" t="s">
        <v>139</v>
      </c>
      <c r="B80">
        <v>0.29199999999999998</v>
      </c>
      <c r="C80">
        <v>0.28599999999999998</v>
      </c>
      <c r="D80">
        <v>0.30199999999999999</v>
      </c>
      <c r="E80">
        <v>0.31118493909191502</v>
      </c>
      <c r="F80">
        <v>0.29512735326688799</v>
      </c>
      <c r="G80">
        <v>0.31672203765227003</v>
      </c>
      <c r="H80">
        <v>0.198245</v>
      </c>
      <c r="I80">
        <v>0.188278</v>
      </c>
      <c r="J80">
        <v>0.21098</v>
      </c>
      <c r="K80">
        <v>971.9</v>
      </c>
      <c r="L80">
        <v>90.23</v>
      </c>
      <c r="N80">
        <f t="shared" si="6"/>
        <v>0.29333333333333328</v>
      </c>
      <c r="O80">
        <f t="shared" si="7"/>
        <v>0.307678110003691</v>
      </c>
      <c r="P80">
        <f t="shared" si="8"/>
        <v>0.19916766666666666</v>
      </c>
    </row>
    <row r="81" spans="1:16" x14ac:dyDescent="0.3">
      <c r="A81" t="s">
        <v>140</v>
      </c>
      <c r="B81">
        <v>0.38500000000000001</v>
      </c>
      <c r="C81">
        <v>0.35899999999999999</v>
      </c>
      <c r="D81">
        <v>0.38200000000000001</v>
      </c>
      <c r="E81">
        <v>0.372093023255814</v>
      </c>
      <c r="F81">
        <v>0.35769656699889202</v>
      </c>
      <c r="G81">
        <v>0.39700996677740802</v>
      </c>
      <c r="H81">
        <v>0.22703799999999999</v>
      </c>
      <c r="I81">
        <v>0.21873200000000001</v>
      </c>
      <c r="J81">
        <v>0.23700399999999999</v>
      </c>
      <c r="K81">
        <v>4210.2</v>
      </c>
      <c r="L81">
        <v>5240.3900000000003</v>
      </c>
      <c r="N81">
        <f t="shared" si="6"/>
        <v>0.3753333333333333</v>
      </c>
      <c r="O81">
        <f t="shared" si="7"/>
        <v>0.37559985234403803</v>
      </c>
      <c r="P81">
        <f t="shared" si="8"/>
        <v>0.22759133333333334</v>
      </c>
    </row>
    <row r="82" spans="1:16" x14ac:dyDescent="0.3">
      <c r="A82" t="s">
        <v>141</v>
      </c>
      <c r="B82">
        <v>0.78700000000000003</v>
      </c>
      <c r="C82">
        <v>0.80100000000000005</v>
      </c>
      <c r="D82">
        <v>0.81100000000000005</v>
      </c>
      <c r="E82">
        <v>0.764119601328903</v>
      </c>
      <c r="F82">
        <v>0.77021040974529298</v>
      </c>
      <c r="G82">
        <v>0.77906976744185996</v>
      </c>
      <c r="H82">
        <v>0.45904200000000001</v>
      </c>
      <c r="I82">
        <v>0.45239800000000002</v>
      </c>
      <c r="J82">
        <v>0.472331</v>
      </c>
      <c r="K82">
        <v>1261.9000000000001</v>
      </c>
      <c r="L82">
        <v>97.78</v>
      </c>
      <c r="N82">
        <f t="shared" si="6"/>
        <v>0.79966666666666664</v>
      </c>
      <c r="O82">
        <f t="shared" si="7"/>
        <v>0.77113325950535205</v>
      </c>
      <c r="P82">
        <f t="shared" si="8"/>
        <v>0.46125700000000003</v>
      </c>
    </row>
    <row r="83" spans="1:16" x14ac:dyDescent="0.3">
      <c r="A83" t="s">
        <v>142</v>
      </c>
      <c r="B83">
        <v>0.98</v>
      </c>
      <c r="C83">
        <v>0.97699999999999998</v>
      </c>
      <c r="D83">
        <v>0.99</v>
      </c>
      <c r="E83">
        <v>0.97009966777408596</v>
      </c>
      <c r="F83">
        <v>0.96677740863787298</v>
      </c>
      <c r="G83">
        <v>0.98006644518272401</v>
      </c>
      <c r="H83">
        <v>0.65062600000000004</v>
      </c>
      <c r="I83">
        <v>0.63788999999999996</v>
      </c>
      <c r="J83">
        <v>0.66613</v>
      </c>
      <c r="K83">
        <v>4588.3999999999996</v>
      </c>
      <c r="L83">
        <v>5353.7</v>
      </c>
      <c r="N83">
        <f t="shared" si="6"/>
        <v>0.98233333333333339</v>
      </c>
      <c r="O83">
        <f t="shared" si="7"/>
        <v>0.97231450719822765</v>
      </c>
      <c r="P83">
        <f t="shared" si="8"/>
        <v>0.65154866666666666</v>
      </c>
    </row>
    <row r="84" spans="1:16" x14ac:dyDescent="0.3">
      <c r="A84" t="s">
        <v>143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0.985066</v>
      </c>
      <c r="I84">
        <v>0.98451299999999997</v>
      </c>
      <c r="J84">
        <v>0.97786799999999996</v>
      </c>
      <c r="K84">
        <v>1543.8</v>
      </c>
      <c r="L84">
        <v>112.45</v>
      </c>
      <c r="N84">
        <f t="shared" si="6"/>
        <v>1</v>
      </c>
      <c r="O84">
        <f t="shared" si="7"/>
        <v>1</v>
      </c>
      <c r="P84">
        <f t="shared" si="8"/>
        <v>0.98248233333333335</v>
      </c>
    </row>
    <row r="85" spans="1:16" x14ac:dyDescent="0.3">
      <c r="A85" t="s">
        <v>144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0.81950699999999999</v>
      </c>
      <c r="I85">
        <v>0.80787900000000001</v>
      </c>
      <c r="J85">
        <v>0.84387000000000001</v>
      </c>
      <c r="K85">
        <v>4909.8</v>
      </c>
      <c r="L85">
        <v>5397.95</v>
      </c>
      <c r="N85">
        <f t="shared" si="6"/>
        <v>1</v>
      </c>
      <c r="O85">
        <f t="shared" si="7"/>
        <v>1</v>
      </c>
      <c r="P85">
        <f t="shared" si="8"/>
        <v>0.82375199999999993</v>
      </c>
    </row>
    <row r="86" spans="1:16" x14ac:dyDescent="0.3">
      <c r="A86" t="s">
        <v>145</v>
      </c>
      <c r="B86">
        <v>0.28599999999999998</v>
      </c>
      <c r="C86">
        <v>0.28899999999999998</v>
      </c>
      <c r="D86">
        <v>0.30199999999999999</v>
      </c>
      <c r="E86">
        <v>0.31229235880398598</v>
      </c>
      <c r="F86">
        <v>0.31395348837209303</v>
      </c>
      <c r="G86">
        <v>0.31561461794019902</v>
      </c>
      <c r="H86">
        <v>0.20544299999999999</v>
      </c>
      <c r="I86">
        <v>0.19603000000000001</v>
      </c>
      <c r="J86">
        <v>0.223715</v>
      </c>
      <c r="K86">
        <v>1748.1</v>
      </c>
      <c r="L86">
        <v>80.81</v>
      </c>
      <c r="N86">
        <f t="shared" si="6"/>
        <v>0.29233333333333333</v>
      </c>
      <c r="O86">
        <f t="shared" si="7"/>
        <v>0.31395348837209269</v>
      </c>
      <c r="P86">
        <f t="shared" si="8"/>
        <v>0.208396</v>
      </c>
    </row>
    <row r="87" spans="1:16" x14ac:dyDescent="0.3">
      <c r="A87" t="s">
        <v>146</v>
      </c>
      <c r="B87">
        <v>0.40500000000000003</v>
      </c>
      <c r="C87">
        <v>0.40200000000000002</v>
      </c>
      <c r="D87">
        <v>0.42499999999999999</v>
      </c>
      <c r="E87">
        <v>0.39977851605758502</v>
      </c>
      <c r="F87">
        <v>0.40143964562569201</v>
      </c>
      <c r="G87">
        <v>0.41085271317829403</v>
      </c>
      <c r="H87">
        <v>0.22759099999999999</v>
      </c>
      <c r="I87">
        <v>0.233128</v>
      </c>
      <c r="J87">
        <v>0.25084699999999999</v>
      </c>
      <c r="K87">
        <v>5042.2</v>
      </c>
      <c r="L87">
        <v>5518.22</v>
      </c>
      <c r="N87">
        <f t="shared" si="6"/>
        <v>0.41066666666666668</v>
      </c>
      <c r="O87">
        <f t="shared" si="7"/>
        <v>0.40402362495385696</v>
      </c>
      <c r="P87">
        <f t="shared" si="8"/>
        <v>0.23718866666666663</v>
      </c>
    </row>
    <row r="88" spans="1:16" x14ac:dyDescent="0.3">
      <c r="A88" t="s">
        <v>147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0.89702700000000002</v>
      </c>
      <c r="I88">
        <v>0.89370400000000005</v>
      </c>
      <c r="J88">
        <v>0.90810100000000005</v>
      </c>
      <c r="K88">
        <v>2138.1</v>
      </c>
      <c r="L88">
        <v>97.67</v>
      </c>
      <c r="N88">
        <f t="shared" si="6"/>
        <v>1</v>
      </c>
      <c r="O88">
        <f t="shared" si="7"/>
        <v>1</v>
      </c>
      <c r="P88">
        <f t="shared" si="8"/>
        <v>0.89961066666666678</v>
      </c>
    </row>
    <row r="89" spans="1:16" x14ac:dyDescent="0.3">
      <c r="A89" t="s">
        <v>148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0.98949600000000004</v>
      </c>
      <c r="I89">
        <v>0.98562000000000005</v>
      </c>
      <c r="J89">
        <v>0.99226499999999995</v>
      </c>
      <c r="K89">
        <v>5305</v>
      </c>
      <c r="L89">
        <v>5523.72</v>
      </c>
      <c r="N89">
        <f t="shared" si="6"/>
        <v>1</v>
      </c>
      <c r="O89">
        <f t="shared" si="7"/>
        <v>1</v>
      </c>
      <c r="P89">
        <f t="shared" si="8"/>
        <v>0.98912699999999998</v>
      </c>
    </row>
    <row r="90" spans="1:16" x14ac:dyDescent="0.3">
      <c r="A90" t="s">
        <v>149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0.417514</v>
      </c>
      <c r="I90">
        <v>0.394258</v>
      </c>
      <c r="J90">
        <v>0.40920800000000002</v>
      </c>
      <c r="K90">
        <v>533.9</v>
      </c>
      <c r="L90">
        <v>119.66</v>
      </c>
      <c r="N90">
        <f t="shared" si="6"/>
        <v>1</v>
      </c>
      <c r="O90">
        <f t="shared" si="7"/>
        <v>1</v>
      </c>
      <c r="P90">
        <f t="shared" si="8"/>
        <v>0.40699333333333332</v>
      </c>
    </row>
    <row r="91" spans="1:16" x14ac:dyDescent="0.3">
      <c r="A91" t="s">
        <v>138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9.9683999999999995E-2</v>
      </c>
      <c r="I91">
        <v>0.114081</v>
      </c>
      <c r="J91">
        <v>0.11795700000000001</v>
      </c>
      <c r="K91">
        <v>3546.8</v>
      </c>
      <c r="L91">
        <v>5640.66</v>
      </c>
      <c r="N91">
        <f t="shared" si="6"/>
        <v>1</v>
      </c>
      <c r="O91">
        <f t="shared" si="7"/>
        <v>1</v>
      </c>
      <c r="P91">
        <f t="shared" si="8"/>
        <v>0.11057399999999999</v>
      </c>
    </row>
    <row r="92" spans="1:16" x14ac:dyDescent="0.3">
      <c r="A92" t="s">
        <v>150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5.7602E-2</v>
      </c>
      <c r="I92">
        <v>5.5940999999999998E-2</v>
      </c>
      <c r="J92">
        <v>5.5940999999999998E-2</v>
      </c>
      <c r="K92">
        <v>2710.6</v>
      </c>
      <c r="L92">
        <v>132.83000000000001</v>
      </c>
      <c r="N92">
        <f t="shared" si="6"/>
        <v>1</v>
      </c>
      <c r="O92">
        <f t="shared" si="7"/>
        <v>1</v>
      </c>
      <c r="P92">
        <f t="shared" si="8"/>
        <v>5.6494666666666665E-2</v>
      </c>
    </row>
    <row r="93" spans="1:16" x14ac:dyDescent="0.3">
      <c r="A93" t="s">
        <v>151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9.4299999999999991E-3</v>
      </c>
      <c r="I93">
        <v>8.8760000000000002E-3</v>
      </c>
      <c r="J93">
        <v>6.6610000000000003E-3</v>
      </c>
      <c r="K93">
        <v>4621.3</v>
      </c>
      <c r="L93">
        <v>5746.58</v>
      </c>
      <c r="N93">
        <f t="shared" si="6"/>
        <v>1</v>
      </c>
      <c r="O93">
        <f t="shared" si="7"/>
        <v>1</v>
      </c>
      <c r="P93">
        <f t="shared" si="8"/>
        <v>8.3223333333333326E-3</v>
      </c>
    </row>
    <row r="94" spans="1:16" x14ac:dyDescent="0.3">
      <c r="A94" t="s">
        <v>152</v>
      </c>
      <c r="B94">
        <v>0.77400000000000002</v>
      </c>
      <c r="C94">
        <v>0.79100000000000004</v>
      </c>
      <c r="D94">
        <v>0.78100000000000003</v>
      </c>
      <c r="E94">
        <v>0.75858250276854899</v>
      </c>
      <c r="F94">
        <v>0.77187153931339902</v>
      </c>
      <c r="G94">
        <v>0.76854928017718704</v>
      </c>
      <c r="H94">
        <v>0.44353799999999999</v>
      </c>
      <c r="I94">
        <v>0.45461200000000002</v>
      </c>
      <c r="J94">
        <v>0.44409199999999999</v>
      </c>
      <c r="K94">
        <v>2965.9</v>
      </c>
      <c r="L94">
        <v>87.5</v>
      </c>
      <c r="N94">
        <f t="shared" si="6"/>
        <v>0.78200000000000003</v>
      </c>
      <c r="O94">
        <f t="shared" si="7"/>
        <v>0.76633444075304491</v>
      </c>
      <c r="P94">
        <f t="shared" si="8"/>
        <v>0.44741399999999998</v>
      </c>
    </row>
    <row r="95" spans="1:16" x14ac:dyDescent="0.3">
      <c r="A95" t="s">
        <v>153</v>
      </c>
      <c r="B95">
        <v>0.98299999999999998</v>
      </c>
      <c r="C95">
        <v>0.98</v>
      </c>
      <c r="D95">
        <v>0.97299999999999998</v>
      </c>
      <c r="E95">
        <v>0.97951273532668803</v>
      </c>
      <c r="F95">
        <v>0.97342192691029805</v>
      </c>
      <c r="G95">
        <v>0.97065337763012105</v>
      </c>
      <c r="H95">
        <v>0.64564200000000005</v>
      </c>
      <c r="I95">
        <v>0.65394799999999997</v>
      </c>
      <c r="J95">
        <v>0.66391500000000003</v>
      </c>
      <c r="K95">
        <v>6382.6</v>
      </c>
      <c r="L95">
        <v>5531.94</v>
      </c>
      <c r="N95">
        <f t="shared" si="6"/>
        <v>0.97866666666666668</v>
      </c>
      <c r="O95">
        <f t="shared" si="7"/>
        <v>0.97452934662236901</v>
      </c>
      <c r="P95">
        <f t="shared" si="8"/>
        <v>0.65450166666666665</v>
      </c>
    </row>
    <row r="96" spans="1:16" x14ac:dyDescent="0.3">
      <c r="A96" t="s">
        <v>154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0.30345</v>
      </c>
      <c r="I96">
        <v>0.32393699999999997</v>
      </c>
      <c r="J96">
        <v>0.33888699999999999</v>
      </c>
      <c r="K96">
        <v>3574.5</v>
      </c>
      <c r="L96">
        <v>107.25</v>
      </c>
      <c r="N96">
        <f t="shared" si="6"/>
        <v>1</v>
      </c>
      <c r="O96">
        <f t="shared" si="7"/>
        <v>1</v>
      </c>
      <c r="P96">
        <f t="shared" si="8"/>
        <v>0.32209133333333329</v>
      </c>
    </row>
    <row r="97" spans="1:16" x14ac:dyDescent="0.3">
      <c r="A97" t="s">
        <v>155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3.4347000000000003E-2</v>
      </c>
      <c r="I97">
        <v>3.49E-2</v>
      </c>
      <c r="J97">
        <v>3.7115000000000002E-2</v>
      </c>
      <c r="K97">
        <v>6723.8</v>
      </c>
      <c r="L97">
        <v>5504.64</v>
      </c>
      <c r="N97">
        <f t="shared" si="6"/>
        <v>1</v>
      </c>
      <c r="O97">
        <f t="shared" si="7"/>
        <v>1</v>
      </c>
      <c r="P97">
        <f t="shared" si="8"/>
        <v>3.5454000000000006E-2</v>
      </c>
    </row>
    <row r="98" spans="1:16" x14ac:dyDescent="0.3">
      <c r="A98" t="s">
        <v>156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6.1069999999999996E-3</v>
      </c>
      <c r="I98">
        <v>7.2150000000000001E-3</v>
      </c>
      <c r="J98">
        <v>6.1069999999999996E-3</v>
      </c>
      <c r="K98">
        <v>4046.6</v>
      </c>
      <c r="L98">
        <v>526.97</v>
      </c>
      <c r="N98">
        <f t="shared" si="6"/>
        <v>1</v>
      </c>
      <c r="O98">
        <f t="shared" si="7"/>
        <v>1</v>
      </c>
      <c r="P98">
        <f t="shared" si="8"/>
        <v>6.4763333333333339E-3</v>
      </c>
    </row>
    <row r="99" spans="1:16" x14ac:dyDescent="0.3">
      <c r="A99" t="s">
        <v>157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5.0000000000000001E-3</v>
      </c>
      <c r="I99">
        <v>5.0000000000000001E-3</v>
      </c>
      <c r="J99">
        <v>5.0000000000000001E-3</v>
      </c>
      <c r="K99">
        <v>6881.9</v>
      </c>
      <c r="L99">
        <v>5755.19</v>
      </c>
      <c r="N99">
        <f t="shared" si="6"/>
        <v>1</v>
      </c>
      <c r="O99">
        <f t="shared" si="7"/>
        <v>1</v>
      </c>
      <c r="P99">
        <f t="shared" si="8"/>
        <v>5.0000000000000001E-3</v>
      </c>
    </row>
    <row r="100" spans="1:16" x14ac:dyDescent="0.3">
      <c r="A100" t="s">
        <v>158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7.7689999999999999E-3</v>
      </c>
      <c r="I100">
        <v>7.2150000000000001E-3</v>
      </c>
      <c r="J100">
        <v>7.2150000000000001E-3</v>
      </c>
      <c r="K100">
        <v>4407.3999999999996</v>
      </c>
      <c r="L100">
        <v>147.38999999999999</v>
      </c>
      <c r="N100">
        <f t="shared" si="6"/>
        <v>1</v>
      </c>
      <c r="O100">
        <f t="shared" si="7"/>
        <v>1</v>
      </c>
      <c r="P100">
        <f t="shared" si="8"/>
        <v>7.3996666666666664E-3</v>
      </c>
    </row>
    <row r="101" spans="1:16" x14ac:dyDescent="0.3">
      <c r="A101" t="s">
        <v>159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5.0000000000000001E-3</v>
      </c>
      <c r="I101">
        <v>5.0000000000000001E-3</v>
      </c>
      <c r="J101">
        <v>5.0000000000000001E-3</v>
      </c>
      <c r="K101">
        <v>6971.6</v>
      </c>
      <c r="L101">
        <v>6919.45</v>
      </c>
      <c r="N101">
        <f t="shared" si="6"/>
        <v>1</v>
      </c>
      <c r="O101">
        <f t="shared" si="7"/>
        <v>1</v>
      </c>
      <c r="P101">
        <f t="shared" si="8"/>
        <v>5.0000000000000001E-3</v>
      </c>
    </row>
    <row r="102" spans="1:16" x14ac:dyDescent="0.3">
      <c r="A102" t="s">
        <v>160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0.93855500000000003</v>
      </c>
      <c r="I102">
        <v>0.94409200000000004</v>
      </c>
      <c r="J102">
        <v>0.94187699999999996</v>
      </c>
      <c r="K102">
        <v>4408.3</v>
      </c>
      <c r="L102">
        <v>111.34</v>
      </c>
      <c r="N102">
        <f t="shared" si="6"/>
        <v>1</v>
      </c>
      <c r="O102">
        <f t="shared" si="7"/>
        <v>1</v>
      </c>
      <c r="P102">
        <f t="shared" si="8"/>
        <v>0.9415079999999999</v>
      </c>
    </row>
    <row r="103" spans="1:16" x14ac:dyDescent="0.3">
      <c r="A103" t="s">
        <v>161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0.80068099999999998</v>
      </c>
      <c r="I103">
        <v>0.78462299999999996</v>
      </c>
      <c r="J103">
        <v>0.80012700000000003</v>
      </c>
      <c r="K103">
        <v>6657.7</v>
      </c>
      <c r="L103">
        <v>5615.28</v>
      </c>
      <c r="N103">
        <f t="shared" si="6"/>
        <v>1</v>
      </c>
      <c r="O103">
        <f t="shared" si="7"/>
        <v>1</v>
      </c>
      <c r="P103">
        <f t="shared" si="8"/>
        <v>0.79514366666666658</v>
      </c>
    </row>
    <row r="104" spans="1:16" x14ac:dyDescent="0.3">
      <c r="A104" t="s">
        <v>162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6.6610000000000003E-3</v>
      </c>
      <c r="I104">
        <v>7.2150000000000001E-3</v>
      </c>
      <c r="J104">
        <v>6.6610000000000003E-3</v>
      </c>
      <c r="K104">
        <v>4301.6000000000004</v>
      </c>
      <c r="L104">
        <v>127.27</v>
      </c>
      <c r="N104">
        <f t="shared" si="6"/>
        <v>1</v>
      </c>
      <c r="O104">
        <f t="shared" si="7"/>
        <v>1</v>
      </c>
      <c r="P104">
        <f t="shared" si="8"/>
        <v>6.8456666666666666E-3</v>
      </c>
    </row>
    <row r="105" spans="1:16" x14ac:dyDescent="0.3">
      <c r="A105" t="s">
        <v>163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5.0000000000000001E-3</v>
      </c>
      <c r="I105">
        <v>5.0000000000000001E-3</v>
      </c>
      <c r="J105">
        <v>5.0000000000000001E-3</v>
      </c>
      <c r="K105">
        <v>7209.8</v>
      </c>
      <c r="L105">
        <v>5809.34</v>
      </c>
      <c r="N105">
        <f t="shared" si="6"/>
        <v>1</v>
      </c>
      <c r="O105">
        <f t="shared" si="7"/>
        <v>1</v>
      </c>
      <c r="P105">
        <f t="shared" si="8"/>
        <v>5.0000000000000001E-3</v>
      </c>
    </row>
    <row r="106" spans="1:16" x14ac:dyDescent="0.3">
      <c r="A106" t="s">
        <v>164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5.0000000000000001E-3</v>
      </c>
      <c r="I106">
        <v>5.0000000000000001E-3</v>
      </c>
      <c r="J106">
        <v>5.0000000000000001E-3</v>
      </c>
      <c r="K106">
        <v>5463</v>
      </c>
      <c r="L106">
        <v>140.66999999999999</v>
      </c>
      <c r="N106">
        <f t="shared" si="6"/>
        <v>1</v>
      </c>
      <c r="O106">
        <f t="shared" si="7"/>
        <v>1</v>
      </c>
      <c r="P106">
        <f t="shared" si="8"/>
        <v>5.0000000000000001E-3</v>
      </c>
    </row>
    <row r="107" spans="1:16" x14ac:dyDescent="0.3">
      <c r="A107" t="s">
        <v>165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5.0000000000000001E-3</v>
      </c>
      <c r="I107">
        <v>5.0000000000000001E-3</v>
      </c>
      <c r="J107">
        <v>5.0000000000000001E-3</v>
      </c>
      <c r="K107">
        <v>6525.1</v>
      </c>
      <c r="L107">
        <v>6873.41</v>
      </c>
      <c r="N107">
        <f t="shared" si="6"/>
        <v>1</v>
      </c>
      <c r="O107">
        <f t="shared" si="7"/>
        <v>1</v>
      </c>
      <c r="P107">
        <f t="shared" si="8"/>
        <v>5.0000000000000001E-3</v>
      </c>
    </row>
    <row r="108" spans="1:16" x14ac:dyDescent="0.3">
      <c r="A108" t="s">
        <v>166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1.1645000000000001E-2</v>
      </c>
      <c r="I108">
        <v>1.1645000000000001E-2</v>
      </c>
      <c r="J108">
        <v>1.1091E-2</v>
      </c>
      <c r="K108">
        <v>4345.3999999999996</v>
      </c>
      <c r="L108">
        <v>257.25</v>
      </c>
      <c r="N108">
        <f t="shared" si="6"/>
        <v>1</v>
      </c>
      <c r="O108">
        <f t="shared" si="7"/>
        <v>1</v>
      </c>
      <c r="P108">
        <f t="shared" si="8"/>
        <v>1.1460333333333335E-2</v>
      </c>
    </row>
    <row r="109" spans="1:16" x14ac:dyDescent="0.3">
      <c r="A109" t="s">
        <v>167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5.0000000000000001E-3</v>
      </c>
      <c r="I109">
        <v>5.0000000000000001E-3</v>
      </c>
      <c r="J109">
        <v>5.0000000000000001E-3</v>
      </c>
      <c r="K109">
        <v>8667.6</v>
      </c>
      <c r="L109">
        <v>11063.33</v>
      </c>
      <c r="N109">
        <f t="shared" si="6"/>
        <v>1</v>
      </c>
      <c r="O109">
        <f t="shared" si="7"/>
        <v>1</v>
      </c>
      <c r="P109">
        <f t="shared" si="8"/>
        <v>5.0000000000000001E-3</v>
      </c>
    </row>
    <row r="112" spans="1:16" x14ac:dyDescent="0.3">
      <c r="A112" t="s">
        <v>36</v>
      </c>
    </row>
    <row r="113" spans="1:19" x14ac:dyDescent="0.3">
      <c r="C113" t="s">
        <v>6</v>
      </c>
      <c r="F113" t="s">
        <v>7</v>
      </c>
      <c r="I113" t="s">
        <v>8</v>
      </c>
      <c r="O113" t="s">
        <v>83</v>
      </c>
      <c r="R113" t="s">
        <v>84</v>
      </c>
    </row>
    <row r="114" spans="1:19" x14ac:dyDescent="0.3">
      <c r="A114" t="s">
        <v>85</v>
      </c>
      <c r="B114" t="s">
        <v>86</v>
      </c>
      <c r="C114" t="s">
        <v>88</v>
      </c>
      <c r="D114" t="s">
        <v>90</v>
      </c>
      <c r="E114" t="s">
        <v>92</v>
      </c>
      <c r="F114" t="s">
        <v>93</v>
      </c>
      <c r="G114" t="s">
        <v>94</v>
      </c>
      <c r="H114" t="s">
        <v>92</v>
      </c>
      <c r="I114" t="s">
        <v>93</v>
      </c>
      <c r="J114" t="s">
        <v>94</v>
      </c>
      <c r="K114" t="s">
        <v>95</v>
      </c>
      <c r="L114" t="s">
        <v>96</v>
      </c>
      <c r="N114" t="s">
        <v>134</v>
      </c>
      <c r="O114" t="s">
        <v>122</v>
      </c>
      <c r="P114" t="s">
        <v>123</v>
      </c>
      <c r="Q114" t="s">
        <v>6</v>
      </c>
      <c r="R114" t="s">
        <v>7</v>
      </c>
      <c r="S114" t="s">
        <v>8</v>
      </c>
    </row>
    <row r="115" spans="1:19" x14ac:dyDescent="0.3">
      <c r="A115" t="s">
        <v>135</v>
      </c>
      <c r="B115">
        <v>0.153</v>
      </c>
      <c r="C115">
        <v>0.153</v>
      </c>
      <c r="D115">
        <v>0.153</v>
      </c>
      <c r="E115">
        <v>0.22829457364340999</v>
      </c>
      <c r="F115">
        <v>0.22403100775193699</v>
      </c>
      <c r="G115">
        <v>0.214728682170542</v>
      </c>
      <c r="H115">
        <v>0.165465</v>
      </c>
      <c r="I115">
        <v>0.165465</v>
      </c>
      <c r="J115">
        <v>0.165465</v>
      </c>
      <c r="K115">
        <v>1708.2</v>
      </c>
      <c r="L115">
        <v>161.88</v>
      </c>
      <c r="N115">
        <f t="shared" ref="N115:N146" si="9">AVERAGE(B115:D115)</f>
        <v>0.153</v>
      </c>
      <c r="O115">
        <f t="shared" ref="O115:O146" si="10">AVERAGE(E115:G115)</f>
        <v>0.22235142118862963</v>
      </c>
      <c r="P115">
        <f t="shared" ref="P115:P146" si="11">AVERAGE(H115:J115)</f>
        <v>0.165465</v>
      </c>
      <c r="Q115">
        <f>MIN(N115:N146)</f>
        <v>0.128</v>
      </c>
      <c r="R115">
        <f>MIN(O115:O146)</f>
        <v>0.16886304909560668</v>
      </c>
      <c r="S115">
        <f>MIN(P115:P146)</f>
        <v>5.0000000000000001E-3</v>
      </c>
    </row>
    <row r="116" spans="1:19" x14ac:dyDescent="0.3">
      <c r="A116" t="s">
        <v>136</v>
      </c>
      <c r="B116">
        <v>0.14699999999999999</v>
      </c>
      <c r="C116">
        <v>0.14699999999999999</v>
      </c>
      <c r="D116">
        <v>0.14699999999999999</v>
      </c>
      <c r="E116">
        <v>0.230232558139534</v>
      </c>
      <c r="F116">
        <v>0.21317829457364301</v>
      </c>
      <c r="G116">
        <v>0.22868217054263501</v>
      </c>
      <c r="H116">
        <v>0.16236400000000001</v>
      </c>
      <c r="I116">
        <v>0.16236400000000001</v>
      </c>
      <c r="J116">
        <v>0.16236400000000001</v>
      </c>
      <c r="K116">
        <v>4572.2</v>
      </c>
      <c r="L116">
        <v>9247.0300000000007</v>
      </c>
      <c r="N116">
        <f t="shared" si="9"/>
        <v>0.14699999999999999</v>
      </c>
      <c r="O116">
        <f t="shared" si="10"/>
        <v>0.22403100775193732</v>
      </c>
      <c r="P116">
        <f t="shared" si="11"/>
        <v>0.16236400000000001</v>
      </c>
      <c r="Q116" t="s">
        <v>168</v>
      </c>
      <c r="R116" t="s">
        <v>168</v>
      </c>
      <c r="S116" t="s">
        <v>159</v>
      </c>
    </row>
    <row r="117" spans="1:19" x14ac:dyDescent="0.3">
      <c r="A117" t="s">
        <v>139</v>
      </c>
      <c r="B117">
        <v>0.16300000000000001</v>
      </c>
      <c r="C117">
        <v>0.16300000000000001</v>
      </c>
      <c r="D117">
        <v>0.16300000000000001</v>
      </c>
      <c r="E117">
        <v>0.1984496124031</v>
      </c>
      <c r="F117">
        <v>0.20348837209302301</v>
      </c>
      <c r="G117">
        <v>0.202713178294573</v>
      </c>
      <c r="H117">
        <v>0.167016</v>
      </c>
      <c r="I117">
        <v>0.167016</v>
      </c>
      <c r="J117">
        <v>0.167016</v>
      </c>
      <c r="K117">
        <v>1813.3</v>
      </c>
      <c r="L117">
        <v>167.09</v>
      </c>
      <c r="N117">
        <f t="shared" si="9"/>
        <v>0.16300000000000001</v>
      </c>
      <c r="O117">
        <f t="shared" si="10"/>
        <v>0.20155038759689867</v>
      </c>
      <c r="P117">
        <f t="shared" si="11"/>
        <v>0.16701599999999997</v>
      </c>
    </row>
    <row r="118" spans="1:19" x14ac:dyDescent="0.3">
      <c r="A118" t="s">
        <v>140</v>
      </c>
      <c r="B118">
        <v>0.188</v>
      </c>
      <c r="C118">
        <v>0.188</v>
      </c>
      <c r="D118">
        <v>0.188</v>
      </c>
      <c r="E118">
        <v>0.218992248062015</v>
      </c>
      <c r="F118">
        <v>0.21937984496123999</v>
      </c>
      <c r="G118">
        <v>0.21860465116278999</v>
      </c>
      <c r="H118">
        <v>0.165853</v>
      </c>
      <c r="I118">
        <v>0.165853</v>
      </c>
      <c r="J118">
        <v>0.165853</v>
      </c>
      <c r="K118">
        <v>5178.3</v>
      </c>
      <c r="L118">
        <v>10037.06</v>
      </c>
      <c r="N118">
        <f t="shared" si="9"/>
        <v>0.18800000000000003</v>
      </c>
      <c r="O118">
        <f t="shared" si="10"/>
        <v>0.218992248062015</v>
      </c>
      <c r="P118">
        <f t="shared" si="11"/>
        <v>0.165853</v>
      </c>
    </row>
    <row r="119" spans="1:19" x14ac:dyDescent="0.3">
      <c r="A119" t="s">
        <v>141</v>
      </c>
      <c r="B119">
        <v>0.128</v>
      </c>
      <c r="C119">
        <v>0.128</v>
      </c>
      <c r="D119">
        <v>0.128</v>
      </c>
      <c r="E119">
        <v>0.163178294573643</v>
      </c>
      <c r="F119">
        <v>0.16899224806201499</v>
      </c>
      <c r="G119">
        <v>0.17441860465116199</v>
      </c>
      <c r="H119">
        <v>0.15189900000000001</v>
      </c>
      <c r="I119">
        <v>0.15189900000000001</v>
      </c>
      <c r="J119">
        <v>0.15189900000000001</v>
      </c>
      <c r="K119">
        <v>2329</v>
      </c>
      <c r="L119">
        <v>247.16</v>
      </c>
      <c r="N119">
        <f t="shared" si="9"/>
        <v>0.128</v>
      </c>
      <c r="O119">
        <f t="shared" si="10"/>
        <v>0.16886304909560668</v>
      </c>
      <c r="P119">
        <f t="shared" si="11"/>
        <v>0.15189900000000001</v>
      </c>
    </row>
    <row r="120" spans="1:19" x14ac:dyDescent="0.3">
      <c r="A120" t="s">
        <v>142</v>
      </c>
      <c r="B120">
        <v>0.309</v>
      </c>
      <c r="C120">
        <v>0.309</v>
      </c>
      <c r="D120">
        <v>0.309</v>
      </c>
      <c r="E120">
        <v>0.35310077519379801</v>
      </c>
      <c r="F120">
        <v>0.35271317829457299</v>
      </c>
      <c r="G120">
        <v>0.35232558139534798</v>
      </c>
      <c r="H120">
        <v>0.25345000000000001</v>
      </c>
      <c r="I120">
        <v>0.25345000000000001</v>
      </c>
      <c r="J120">
        <v>0.25345000000000001</v>
      </c>
      <c r="K120">
        <v>5881.5</v>
      </c>
      <c r="L120">
        <v>9962.64</v>
      </c>
      <c r="N120">
        <f t="shared" si="9"/>
        <v>0.309</v>
      </c>
      <c r="O120">
        <f t="shared" si="10"/>
        <v>0.35271317829457294</v>
      </c>
      <c r="P120">
        <f t="shared" si="11"/>
        <v>0.25345000000000001</v>
      </c>
    </row>
    <row r="121" spans="1:19" x14ac:dyDescent="0.3">
      <c r="A121" t="s">
        <v>143</v>
      </c>
      <c r="B121">
        <v>0.46300000000000002</v>
      </c>
      <c r="C121">
        <v>0.46300000000000002</v>
      </c>
      <c r="D121">
        <v>0.46300000000000002</v>
      </c>
      <c r="E121">
        <v>0.46007751937984498</v>
      </c>
      <c r="F121">
        <v>0.459302325581395</v>
      </c>
      <c r="G121">
        <v>0.46007751937984498</v>
      </c>
      <c r="H121">
        <v>0.35693799999999998</v>
      </c>
      <c r="I121">
        <v>0.35693799999999998</v>
      </c>
      <c r="J121">
        <v>0.35693799999999998</v>
      </c>
      <c r="K121">
        <v>2771.5</v>
      </c>
      <c r="L121">
        <v>359.72</v>
      </c>
      <c r="N121">
        <f t="shared" si="9"/>
        <v>0.46300000000000002</v>
      </c>
      <c r="O121">
        <f t="shared" si="10"/>
        <v>0.45981912144702836</v>
      </c>
      <c r="P121">
        <f t="shared" si="11"/>
        <v>0.35693799999999998</v>
      </c>
    </row>
    <row r="122" spans="1:19" x14ac:dyDescent="0.3">
      <c r="A122" t="s">
        <v>144</v>
      </c>
      <c r="B122">
        <v>0.92800000000000005</v>
      </c>
      <c r="C122">
        <v>0.92800000000000005</v>
      </c>
      <c r="D122">
        <v>0.92800000000000005</v>
      </c>
      <c r="E122">
        <v>0.92403100775193803</v>
      </c>
      <c r="F122">
        <v>0.92441860465116199</v>
      </c>
      <c r="G122">
        <v>0.92441860465116199</v>
      </c>
      <c r="H122">
        <v>0.76856599999999997</v>
      </c>
      <c r="I122">
        <v>0.76856599999999997</v>
      </c>
      <c r="J122">
        <v>0.76856599999999997</v>
      </c>
      <c r="K122">
        <v>6151.5</v>
      </c>
      <c r="L122">
        <v>10026.049999999999</v>
      </c>
      <c r="N122">
        <f t="shared" si="9"/>
        <v>0.92800000000000005</v>
      </c>
      <c r="O122">
        <f t="shared" si="10"/>
        <v>0.92428940568475404</v>
      </c>
      <c r="P122">
        <f t="shared" si="11"/>
        <v>0.76856599999999997</v>
      </c>
    </row>
    <row r="123" spans="1:19" x14ac:dyDescent="0.3">
      <c r="A123" t="s">
        <v>145</v>
      </c>
      <c r="B123">
        <v>0.158</v>
      </c>
      <c r="C123">
        <v>0.158</v>
      </c>
      <c r="D123">
        <v>0.158</v>
      </c>
      <c r="E123">
        <v>0.212403100775193</v>
      </c>
      <c r="F123">
        <v>0.21744186046511599</v>
      </c>
      <c r="G123">
        <v>0.21434108527131701</v>
      </c>
      <c r="H123">
        <v>0.17050399999999999</v>
      </c>
      <c r="I123">
        <v>0.17050399999999999</v>
      </c>
      <c r="J123">
        <v>0.17050399999999999</v>
      </c>
      <c r="K123">
        <v>3542.6</v>
      </c>
      <c r="L123">
        <v>177.11</v>
      </c>
      <c r="N123">
        <f t="shared" si="9"/>
        <v>0.158</v>
      </c>
      <c r="O123">
        <f t="shared" si="10"/>
        <v>0.214728682170542</v>
      </c>
      <c r="P123">
        <f t="shared" si="11"/>
        <v>0.17050399999999999</v>
      </c>
    </row>
    <row r="124" spans="1:19" x14ac:dyDescent="0.3">
      <c r="A124" t="s">
        <v>146</v>
      </c>
      <c r="B124">
        <v>0.188</v>
      </c>
      <c r="C124">
        <v>0.188</v>
      </c>
      <c r="D124">
        <v>0.188</v>
      </c>
      <c r="E124">
        <v>0.231395348837209</v>
      </c>
      <c r="F124">
        <v>0.226744186046511</v>
      </c>
      <c r="G124">
        <v>0.22519379844961199</v>
      </c>
      <c r="H124">
        <v>0.15887599999999999</v>
      </c>
      <c r="I124">
        <v>0.15887599999999999</v>
      </c>
      <c r="J124">
        <v>0.15887599999999999</v>
      </c>
      <c r="K124">
        <v>6527.8</v>
      </c>
      <c r="L124">
        <v>9901.75</v>
      </c>
      <c r="N124">
        <f t="shared" si="9"/>
        <v>0.18800000000000003</v>
      </c>
      <c r="O124">
        <f t="shared" si="10"/>
        <v>0.22777777777777733</v>
      </c>
      <c r="P124">
        <f t="shared" si="11"/>
        <v>0.15887599999999999</v>
      </c>
    </row>
    <row r="125" spans="1:19" x14ac:dyDescent="0.3">
      <c r="A125" t="s">
        <v>147</v>
      </c>
      <c r="B125">
        <v>0.61199999999999999</v>
      </c>
      <c r="C125">
        <v>0.61199999999999999</v>
      </c>
      <c r="D125">
        <v>0.61199999999999999</v>
      </c>
      <c r="E125">
        <v>0.613565891472868</v>
      </c>
      <c r="F125">
        <v>0.61434108527131703</v>
      </c>
      <c r="G125">
        <v>0.61395348837209296</v>
      </c>
      <c r="H125">
        <v>0.48755799999999999</v>
      </c>
      <c r="I125">
        <v>0.48755799999999999</v>
      </c>
      <c r="J125">
        <v>0.48755799999999999</v>
      </c>
      <c r="K125">
        <v>3502.7</v>
      </c>
      <c r="L125">
        <v>409.52</v>
      </c>
      <c r="N125">
        <f t="shared" si="9"/>
        <v>0.61199999999999999</v>
      </c>
      <c r="O125">
        <f t="shared" si="10"/>
        <v>0.61395348837209263</v>
      </c>
      <c r="P125">
        <f t="shared" si="11"/>
        <v>0.48755799999999999</v>
      </c>
    </row>
    <row r="126" spans="1:19" x14ac:dyDescent="0.3">
      <c r="A126" t="s">
        <v>148</v>
      </c>
      <c r="B126">
        <v>0.749</v>
      </c>
      <c r="C126">
        <v>0.749</v>
      </c>
      <c r="D126">
        <v>0.749</v>
      </c>
      <c r="E126">
        <v>0.75</v>
      </c>
      <c r="F126">
        <v>0.75077519379844904</v>
      </c>
      <c r="G126">
        <v>0.75077519379844904</v>
      </c>
      <c r="H126">
        <v>0.61546500000000004</v>
      </c>
      <c r="I126">
        <v>0.61546500000000004</v>
      </c>
      <c r="J126">
        <v>0.61546500000000004</v>
      </c>
      <c r="K126">
        <v>6683.3</v>
      </c>
      <c r="L126">
        <v>9988.0499999999993</v>
      </c>
      <c r="N126">
        <f t="shared" si="9"/>
        <v>0.749</v>
      </c>
      <c r="O126">
        <f t="shared" si="10"/>
        <v>0.75051679586563269</v>
      </c>
      <c r="P126">
        <f t="shared" si="11"/>
        <v>0.61546500000000004</v>
      </c>
    </row>
    <row r="127" spans="1:19" x14ac:dyDescent="0.3">
      <c r="A127" t="s">
        <v>149</v>
      </c>
      <c r="B127">
        <v>0.998</v>
      </c>
      <c r="C127">
        <v>0.998</v>
      </c>
      <c r="D127">
        <v>0.998</v>
      </c>
      <c r="E127">
        <v>0.997674418604651</v>
      </c>
      <c r="F127">
        <v>0.997674418604651</v>
      </c>
      <c r="G127">
        <v>0.997674418604651</v>
      </c>
      <c r="H127">
        <v>0.93174400000000002</v>
      </c>
      <c r="I127">
        <v>0.93174400000000002</v>
      </c>
      <c r="J127">
        <v>0.93174400000000002</v>
      </c>
      <c r="K127">
        <v>3840</v>
      </c>
      <c r="L127">
        <v>515.62</v>
      </c>
      <c r="N127">
        <f t="shared" si="9"/>
        <v>0.99799999999999989</v>
      </c>
      <c r="O127">
        <f t="shared" si="10"/>
        <v>0.997674418604651</v>
      </c>
      <c r="P127">
        <f t="shared" si="11"/>
        <v>0.93174400000000002</v>
      </c>
    </row>
    <row r="128" spans="1:19" x14ac:dyDescent="0.3">
      <c r="A128" t="s">
        <v>138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0.99957399999999996</v>
      </c>
      <c r="I128">
        <v>0.99957399999999996</v>
      </c>
      <c r="J128">
        <v>0.99957399999999996</v>
      </c>
      <c r="K128">
        <v>6540</v>
      </c>
      <c r="L128">
        <v>9938.48</v>
      </c>
      <c r="N128">
        <f t="shared" si="9"/>
        <v>1</v>
      </c>
      <c r="O128">
        <f t="shared" si="10"/>
        <v>1</v>
      </c>
      <c r="P128">
        <f t="shared" si="11"/>
        <v>0.99957399999999996</v>
      </c>
    </row>
    <row r="129" spans="1:16" x14ac:dyDescent="0.3">
      <c r="A129" t="s">
        <v>150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0.427481</v>
      </c>
      <c r="I129">
        <v>0.427481</v>
      </c>
      <c r="J129">
        <v>0.427481</v>
      </c>
      <c r="K129">
        <v>2065.1</v>
      </c>
      <c r="L129">
        <v>349.2</v>
      </c>
      <c r="N129">
        <f t="shared" si="9"/>
        <v>1</v>
      </c>
      <c r="O129">
        <f t="shared" si="10"/>
        <v>1</v>
      </c>
      <c r="P129">
        <f t="shared" si="11"/>
        <v>0.427481</v>
      </c>
    </row>
    <row r="130" spans="1:16" x14ac:dyDescent="0.3">
      <c r="A130" t="s">
        <v>151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9.9960999999999994E-2</v>
      </c>
      <c r="I130">
        <v>9.9960999999999994E-2</v>
      </c>
      <c r="J130">
        <v>9.9960999999999994E-2</v>
      </c>
      <c r="K130">
        <v>7301.4</v>
      </c>
      <c r="L130">
        <v>10425.530000000001</v>
      </c>
      <c r="N130">
        <f t="shared" si="9"/>
        <v>1</v>
      </c>
      <c r="O130">
        <f t="shared" si="10"/>
        <v>1</v>
      </c>
      <c r="P130">
        <f t="shared" si="11"/>
        <v>9.9961000000000008E-2</v>
      </c>
    </row>
    <row r="131" spans="1:16" x14ac:dyDescent="0.3">
      <c r="A131" t="s">
        <v>152</v>
      </c>
      <c r="B131">
        <v>0.13500000000000001</v>
      </c>
      <c r="C131">
        <v>0.13500000000000001</v>
      </c>
      <c r="D131">
        <v>0.13500000000000001</v>
      </c>
      <c r="E131">
        <v>0.18139534883720901</v>
      </c>
      <c r="F131">
        <v>0.17868217054263499</v>
      </c>
      <c r="G131">
        <v>0.17015503875968899</v>
      </c>
      <c r="H131">
        <v>0.17089099999999999</v>
      </c>
      <c r="I131">
        <v>0.17089099999999999</v>
      </c>
      <c r="J131">
        <v>0.17089099999999999</v>
      </c>
      <c r="K131">
        <v>3098</v>
      </c>
      <c r="L131">
        <v>196.61</v>
      </c>
      <c r="N131">
        <f t="shared" si="9"/>
        <v>0.13500000000000001</v>
      </c>
      <c r="O131">
        <f t="shared" si="10"/>
        <v>0.17674418604651099</v>
      </c>
      <c r="P131">
        <f t="shared" si="11"/>
        <v>0.17089099999999999</v>
      </c>
    </row>
    <row r="132" spans="1:16" x14ac:dyDescent="0.3">
      <c r="A132" t="s">
        <v>153</v>
      </c>
      <c r="B132">
        <v>0.27</v>
      </c>
      <c r="C132">
        <v>0.27</v>
      </c>
      <c r="D132">
        <v>0.27</v>
      </c>
      <c r="E132">
        <v>0.30465116279069698</v>
      </c>
      <c r="F132">
        <v>0.30697674418604598</v>
      </c>
      <c r="G132">
        <v>0.30697674418604598</v>
      </c>
      <c r="H132">
        <v>0.23910899999999999</v>
      </c>
      <c r="I132">
        <v>0.23910899999999999</v>
      </c>
      <c r="J132">
        <v>0.23910899999999999</v>
      </c>
      <c r="K132">
        <v>6567.6</v>
      </c>
      <c r="L132">
        <v>9936.23</v>
      </c>
      <c r="N132">
        <f t="shared" si="9"/>
        <v>0.27</v>
      </c>
      <c r="O132">
        <f t="shared" si="10"/>
        <v>0.30620155038759633</v>
      </c>
      <c r="P132">
        <f t="shared" si="11"/>
        <v>0.23910899999999999</v>
      </c>
    </row>
    <row r="133" spans="1:16" x14ac:dyDescent="0.3">
      <c r="A133" t="s">
        <v>154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0.92437999999999998</v>
      </c>
      <c r="I133">
        <v>0.92437999999999998</v>
      </c>
      <c r="J133">
        <v>0.92437999999999998</v>
      </c>
      <c r="K133">
        <v>1709.3</v>
      </c>
      <c r="L133">
        <v>239.2</v>
      </c>
      <c r="N133">
        <f t="shared" si="9"/>
        <v>1</v>
      </c>
      <c r="O133">
        <f t="shared" si="10"/>
        <v>1</v>
      </c>
      <c r="P133">
        <f t="shared" si="11"/>
        <v>0.92437999999999987</v>
      </c>
    </row>
    <row r="134" spans="1:16" x14ac:dyDescent="0.3">
      <c r="A134" t="s">
        <v>155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0.99569799999999997</v>
      </c>
      <c r="I134">
        <v>0.99569799999999997</v>
      </c>
      <c r="J134">
        <v>0.99569799999999997</v>
      </c>
      <c r="K134">
        <v>4710.3999999999996</v>
      </c>
      <c r="L134">
        <v>9654.41</v>
      </c>
      <c r="N134">
        <f t="shared" si="9"/>
        <v>1</v>
      </c>
      <c r="O134">
        <f t="shared" si="10"/>
        <v>1</v>
      </c>
      <c r="P134">
        <f t="shared" si="11"/>
        <v>0.99569799999999997</v>
      </c>
    </row>
    <row r="135" spans="1:16" x14ac:dyDescent="0.3">
      <c r="A135" t="s">
        <v>156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0.24879799999999999</v>
      </c>
      <c r="I135">
        <v>0.24879799999999999</v>
      </c>
      <c r="J135">
        <v>0.24879799999999999</v>
      </c>
      <c r="K135">
        <v>1450.4</v>
      </c>
      <c r="L135">
        <v>496.84</v>
      </c>
      <c r="N135">
        <f t="shared" si="9"/>
        <v>1</v>
      </c>
      <c r="O135">
        <f t="shared" si="10"/>
        <v>1</v>
      </c>
      <c r="P135">
        <f t="shared" si="11"/>
        <v>0.24879799999999999</v>
      </c>
    </row>
    <row r="136" spans="1:16" x14ac:dyDescent="0.3">
      <c r="A136" t="s">
        <v>157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5.8101E-2</v>
      </c>
      <c r="I136">
        <v>5.8101E-2</v>
      </c>
      <c r="J136">
        <v>5.8101E-2</v>
      </c>
      <c r="K136">
        <v>8953.4</v>
      </c>
      <c r="L136">
        <v>10446.280000000001</v>
      </c>
      <c r="N136">
        <f t="shared" si="9"/>
        <v>1</v>
      </c>
      <c r="O136">
        <f t="shared" si="10"/>
        <v>1</v>
      </c>
      <c r="P136">
        <f t="shared" si="11"/>
        <v>5.8100999999999993E-2</v>
      </c>
    </row>
    <row r="137" spans="1:16" x14ac:dyDescent="0.3">
      <c r="A137" t="s">
        <v>158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1.0038999999999999E-2</v>
      </c>
      <c r="I137">
        <v>1.0038999999999999E-2</v>
      </c>
      <c r="J137">
        <v>1.0038999999999999E-2</v>
      </c>
      <c r="K137">
        <v>1473.1</v>
      </c>
      <c r="L137">
        <v>359.69</v>
      </c>
      <c r="N137">
        <f t="shared" si="9"/>
        <v>1</v>
      </c>
      <c r="O137">
        <f t="shared" si="10"/>
        <v>1</v>
      </c>
      <c r="P137">
        <f t="shared" si="11"/>
        <v>1.0038999999999999E-2</v>
      </c>
    </row>
    <row r="138" spans="1:16" x14ac:dyDescent="0.3">
      <c r="A138" t="s">
        <v>159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5.0000000000000001E-3</v>
      </c>
      <c r="I138">
        <v>5.0000000000000001E-3</v>
      </c>
      <c r="J138">
        <v>5.0000000000000001E-3</v>
      </c>
      <c r="K138">
        <v>8567.4</v>
      </c>
      <c r="L138">
        <v>11955.61</v>
      </c>
      <c r="N138">
        <f t="shared" si="9"/>
        <v>1</v>
      </c>
      <c r="O138">
        <f t="shared" si="10"/>
        <v>1</v>
      </c>
      <c r="P138">
        <f t="shared" si="11"/>
        <v>5.0000000000000001E-3</v>
      </c>
    </row>
    <row r="139" spans="1:16" x14ac:dyDescent="0.3">
      <c r="A139" t="s">
        <v>160</v>
      </c>
      <c r="B139">
        <v>0.42799999999999999</v>
      </c>
      <c r="C139">
        <v>0.42799999999999999</v>
      </c>
      <c r="D139">
        <v>0.42799999999999999</v>
      </c>
      <c r="E139">
        <v>0.42984496124031002</v>
      </c>
      <c r="F139">
        <v>0.430620155038759</v>
      </c>
      <c r="G139">
        <v>0.43139534883720898</v>
      </c>
      <c r="H139">
        <v>0.34531000000000001</v>
      </c>
      <c r="I139">
        <v>0.34531000000000001</v>
      </c>
      <c r="J139">
        <v>0.34531000000000001</v>
      </c>
      <c r="K139">
        <v>1495.2</v>
      </c>
      <c r="L139">
        <v>247.08</v>
      </c>
      <c r="N139">
        <f t="shared" si="9"/>
        <v>0.42799999999999999</v>
      </c>
      <c r="O139">
        <f t="shared" si="10"/>
        <v>0.43062015503875939</v>
      </c>
      <c r="P139">
        <f t="shared" si="11"/>
        <v>0.34531000000000001</v>
      </c>
    </row>
    <row r="140" spans="1:16" x14ac:dyDescent="0.3">
      <c r="A140" t="s">
        <v>161</v>
      </c>
      <c r="B140">
        <v>0.98799999999999999</v>
      </c>
      <c r="C140">
        <v>0.98799999999999999</v>
      </c>
      <c r="D140">
        <v>0.98799999999999999</v>
      </c>
      <c r="E140">
        <v>0.98565891472868195</v>
      </c>
      <c r="F140">
        <v>0.98565891472868195</v>
      </c>
      <c r="G140">
        <v>0.98565891472868195</v>
      </c>
      <c r="H140">
        <v>0.80810099999999996</v>
      </c>
      <c r="I140">
        <v>0.80810099999999996</v>
      </c>
      <c r="J140">
        <v>0.80810099999999996</v>
      </c>
      <c r="K140">
        <v>5275.6</v>
      </c>
      <c r="L140">
        <v>10214.129999999999</v>
      </c>
      <c r="N140">
        <f t="shared" si="9"/>
        <v>0.98799999999999999</v>
      </c>
      <c r="O140">
        <f t="shared" si="10"/>
        <v>0.98565891472868195</v>
      </c>
      <c r="P140">
        <f t="shared" si="11"/>
        <v>0.80810100000000007</v>
      </c>
    </row>
    <row r="141" spans="1:16" x14ac:dyDescent="0.3">
      <c r="A141" t="s">
        <v>162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0.24686</v>
      </c>
      <c r="I141">
        <v>0.24686</v>
      </c>
      <c r="J141">
        <v>0.24686</v>
      </c>
      <c r="K141">
        <v>8879.7999999999993</v>
      </c>
      <c r="L141">
        <v>326.75</v>
      </c>
      <c r="N141">
        <f t="shared" si="9"/>
        <v>1</v>
      </c>
      <c r="O141">
        <f t="shared" si="10"/>
        <v>1</v>
      </c>
      <c r="P141">
        <f t="shared" si="11"/>
        <v>0.24686</v>
      </c>
    </row>
    <row r="142" spans="1:16" x14ac:dyDescent="0.3">
      <c r="A142" t="s">
        <v>163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4.0659000000000001E-2</v>
      </c>
      <c r="I142">
        <v>4.0659000000000001E-2</v>
      </c>
      <c r="J142">
        <v>4.0659000000000001E-2</v>
      </c>
      <c r="K142">
        <v>8131.7</v>
      </c>
      <c r="L142">
        <v>10232.5</v>
      </c>
      <c r="N142">
        <f t="shared" si="9"/>
        <v>1</v>
      </c>
      <c r="O142">
        <f t="shared" si="10"/>
        <v>1</v>
      </c>
      <c r="P142">
        <f t="shared" si="11"/>
        <v>4.0659000000000001E-2</v>
      </c>
    </row>
    <row r="143" spans="1:16" x14ac:dyDescent="0.3">
      <c r="A143" t="s">
        <v>164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5.7749999999999998E-3</v>
      </c>
      <c r="I143">
        <v>5.7749999999999998E-3</v>
      </c>
      <c r="J143">
        <v>5.7749999999999998E-3</v>
      </c>
      <c r="K143">
        <v>3480</v>
      </c>
      <c r="L143">
        <v>337.33</v>
      </c>
      <c r="N143">
        <f t="shared" si="9"/>
        <v>1</v>
      </c>
      <c r="O143">
        <f t="shared" si="10"/>
        <v>1</v>
      </c>
      <c r="P143">
        <f t="shared" si="11"/>
        <v>5.7749999999999998E-3</v>
      </c>
    </row>
    <row r="144" spans="1:16" x14ac:dyDescent="0.3">
      <c r="A144" t="s">
        <v>165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5.0000000000000001E-3</v>
      </c>
      <c r="I144">
        <v>5.0000000000000001E-3</v>
      </c>
      <c r="J144">
        <v>5.0000000000000001E-3</v>
      </c>
      <c r="K144">
        <v>8636.5</v>
      </c>
      <c r="L144">
        <v>12427.52</v>
      </c>
      <c r="N144">
        <f t="shared" si="9"/>
        <v>1</v>
      </c>
      <c r="O144">
        <f t="shared" si="10"/>
        <v>1</v>
      </c>
      <c r="P144">
        <f t="shared" si="11"/>
        <v>5.0000000000000001E-3</v>
      </c>
    </row>
    <row r="145" spans="1:16" x14ac:dyDescent="0.3">
      <c r="A145" t="s">
        <v>166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6.1630000000000001E-3</v>
      </c>
      <c r="I145">
        <v>6.1630000000000001E-3</v>
      </c>
      <c r="J145">
        <v>6.1630000000000001E-3</v>
      </c>
      <c r="K145">
        <v>10498.6</v>
      </c>
      <c r="L145">
        <v>428.28</v>
      </c>
      <c r="N145">
        <f t="shared" si="9"/>
        <v>1</v>
      </c>
      <c r="O145">
        <f t="shared" si="10"/>
        <v>1</v>
      </c>
      <c r="P145">
        <f t="shared" si="11"/>
        <v>6.1629999999999992E-3</v>
      </c>
    </row>
    <row r="146" spans="1:16" x14ac:dyDescent="0.3">
      <c r="A146" t="s">
        <v>167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5.0000000000000001E-3</v>
      </c>
      <c r="I146">
        <v>5.0000000000000001E-3</v>
      </c>
      <c r="J146">
        <v>5.0000000000000001E-3</v>
      </c>
      <c r="K146">
        <v>10534.2</v>
      </c>
      <c r="L146">
        <v>19338.189999999999</v>
      </c>
      <c r="N146">
        <f t="shared" si="9"/>
        <v>1</v>
      </c>
      <c r="O146">
        <f t="shared" si="10"/>
        <v>1</v>
      </c>
      <c r="P146">
        <f t="shared" si="11"/>
        <v>5.0000000000000001E-3</v>
      </c>
    </row>
    <row r="149" spans="1:16" x14ac:dyDescent="0.3">
      <c r="A149" t="s">
        <v>85</v>
      </c>
      <c r="B149" t="s">
        <v>126</v>
      </c>
      <c r="C149" t="s">
        <v>99</v>
      </c>
      <c r="D149" t="s">
        <v>100</v>
      </c>
      <c r="E149" t="s">
        <v>129</v>
      </c>
      <c r="F149" t="s">
        <v>108</v>
      </c>
      <c r="G149" t="s">
        <v>109</v>
      </c>
      <c r="H149" t="s">
        <v>132</v>
      </c>
      <c r="I149" t="s">
        <v>115</v>
      </c>
      <c r="J149" t="s">
        <v>116</v>
      </c>
      <c r="K149" t="s">
        <v>134</v>
      </c>
      <c r="L149" t="s">
        <v>122</v>
      </c>
      <c r="M149" t="s">
        <v>123</v>
      </c>
    </row>
    <row r="150" spans="1:16" x14ac:dyDescent="0.3">
      <c r="A150" t="s">
        <v>135</v>
      </c>
      <c r="B150">
        <v>0.36999999999999994</v>
      </c>
      <c r="C150">
        <v>0.38786370331385234</v>
      </c>
      <c r="D150">
        <v>0.24408199999999999</v>
      </c>
      <c r="E150">
        <v>0.24033333333333332</v>
      </c>
      <c r="F150">
        <v>0.27334809892949369</v>
      </c>
      <c r="G150">
        <v>0.20045933333333332</v>
      </c>
      <c r="H150">
        <v>0.18366666666666664</v>
      </c>
      <c r="I150">
        <v>0.21908453303802067</v>
      </c>
      <c r="J150">
        <v>0.15911600000000001</v>
      </c>
      <c r="K150">
        <v>0.153</v>
      </c>
      <c r="L150">
        <v>0.22235142118862963</v>
      </c>
      <c r="M150">
        <v>0.165465</v>
      </c>
    </row>
    <row r="151" spans="1:16" x14ac:dyDescent="0.3">
      <c r="A151" t="s">
        <v>136</v>
      </c>
      <c r="B151">
        <v>0.4286666666666667</v>
      </c>
      <c r="C151">
        <v>0.44915737420918128</v>
      </c>
      <c r="D151">
        <v>0.23042733333333332</v>
      </c>
      <c r="E151">
        <v>0.25766666666666665</v>
      </c>
      <c r="F151">
        <v>0.29568106312292336</v>
      </c>
      <c r="G151">
        <v>0.20562766666666668</v>
      </c>
      <c r="H151">
        <v>0.19499999999999998</v>
      </c>
      <c r="I151">
        <v>0.22997416020671799</v>
      </c>
      <c r="J151">
        <v>0.16428366666666669</v>
      </c>
      <c r="K151">
        <v>0.14699999999999999</v>
      </c>
      <c r="L151">
        <v>0.22403100775193732</v>
      </c>
      <c r="M151">
        <v>0.16236400000000001</v>
      </c>
    </row>
    <row r="152" spans="1:16" x14ac:dyDescent="0.3">
      <c r="A152" t="s">
        <v>139</v>
      </c>
      <c r="B152">
        <v>1</v>
      </c>
      <c r="C152">
        <v>1</v>
      </c>
      <c r="D152">
        <v>0.82140400000000013</v>
      </c>
      <c r="E152">
        <v>0.60933333333333339</v>
      </c>
      <c r="F152">
        <v>0.59210040605389402</v>
      </c>
      <c r="G152">
        <v>0.36731066666666673</v>
      </c>
      <c r="H152">
        <v>0.29333333333333328</v>
      </c>
      <c r="I152">
        <v>0.307678110003691</v>
      </c>
      <c r="J152">
        <v>0.19916766666666666</v>
      </c>
      <c r="K152">
        <v>0.16300000000000001</v>
      </c>
      <c r="L152">
        <v>0.20155038759689867</v>
      </c>
      <c r="M152">
        <v>0.16701599999999997</v>
      </c>
    </row>
    <row r="153" spans="1:16" x14ac:dyDescent="0.3">
      <c r="A153" t="s">
        <v>140</v>
      </c>
      <c r="B153">
        <v>1</v>
      </c>
      <c r="C153">
        <v>1</v>
      </c>
      <c r="D153">
        <v>0.94774133333333344</v>
      </c>
      <c r="E153">
        <v>0.70199999999999996</v>
      </c>
      <c r="F153">
        <v>0.69804355850867428</v>
      </c>
      <c r="G153">
        <v>0.41031566666666669</v>
      </c>
      <c r="H153">
        <v>0.3753333333333333</v>
      </c>
      <c r="I153">
        <v>0.37559985234403803</v>
      </c>
      <c r="J153">
        <v>0.22759133333333334</v>
      </c>
      <c r="K153">
        <v>0.18800000000000003</v>
      </c>
      <c r="L153">
        <v>0.218992248062015</v>
      </c>
      <c r="M153">
        <v>0.165853</v>
      </c>
    </row>
    <row r="154" spans="1:16" x14ac:dyDescent="0.3">
      <c r="A154" t="s">
        <v>141</v>
      </c>
      <c r="B154">
        <v>1</v>
      </c>
      <c r="C154">
        <v>1</v>
      </c>
      <c r="D154">
        <v>0.53762866666666664</v>
      </c>
      <c r="E154">
        <v>0.997</v>
      </c>
      <c r="F154">
        <v>0.99667774086378691</v>
      </c>
      <c r="G154">
        <v>0.90810066666666656</v>
      </c>
      <c r="H154">
        <v>0.79966666666666664</v>
      </c>
      <c r="I154">
        <v>0.77113325950535205</v>
      </c>
      <c r="J154">
        <v>0.46125700000000003</v>
      </c>
      <c r="K154">
        <v>0.128</v>
      </c>
      <c r="L154">
        <v>0.16886304909560668</v>
      </c>
      <c r="M154">
        <v>0.15189900000000001</v>
      </c>
    </row>
    <row r="155" spans="1:16" x14ac:dyDescent="0.3">
      <c r="A155" t="s">
        <v>142</v>
      </c>
      <c r="B155">
        <v>1</v>
      </c>
      <c r="C155">
        <v>1</v>
      </c>
      <c r="D155">
        <v>0.16818200000000003</v>
      </c>
      <c r="E155">
        <v>1</v>
      </c>
      <c r="F155">
        <v>1</v>
      </c>
      <c r="G155">
        <v>0.9946640000000001</v>
      </c>
      <c r="H155">
        <v>0.98233333333333339</v>
      </c>
      <c r="I155">
        <v>0.97231450719822765</v>
      </c>
      <c r="J155">
        <v>0.65154866666666666</v>
      </c>
      <c r="K155">
        <v>0.309</v>
      </c>
      <c r="L155">
        <v>0.35271317829457294</v>
      </c>
      <c r="M155">
        <v>0.25345000000000001</v>
      </c>
    </row>
    <row r="156" spans="1:16" x14ac:dyDescent="0.3">
      <c r="A156" t="s">
        <v>143</v>
      </c>
      <c r="B156">
        <v>1</v>
      </c>
      <c r="C156">
        <v>1</v>
      </c>
      <c r="D156">
        <v>0.12049499999999998</v>
      </c>
      <c r="E156">
        <v>1</v>
      </c>
      <c r="F156">
        <v>1</v>
      </c>
      <c r="G156">
        <v>0.75841466666666679</v>
      </c>
      <c r="H156">
        <v>1</v>
      </c>
      <c r="I156">
        <v>1</v>
      </c>
      <c r="J156">
        <v>0.98248233333333335</v>
      </c>
      <c r="K156">
        <v>0.46300000000000002</v>
      </c>
      <c r="L156">
        <v>0.45981912144702836</v>
      </c>
      <c r="M156">
        <v>0.35693799999999998</v>
      </c>
    </row>
    <row r="157" spans="1:16" x14ac:dyDescent="0.3">
      <c r="A157" t="s">
        <v>144</v>
      </c>
      <c r="B157">
        <v>1</v>
      </c>
      <c r="C157">
        <v>1</v>
      </c>
      <c r="D157">
        <v>1.1257333333333334E-2</v>
      </c>
      <c r="E157">
        <v>1</v>
      </c>
      <c r="F157">
        <v>1</v>
      </c>
      <c r="G157">
        <v>0.60466766666666671</v>
      </c>
      <c r="H157">
        <v>1</v>
      </c>
      <c r="I157">
        <v>1</v>
      </c>
      <c r="J157">
        <v>0.82375199999999993</v>
      </c>
      <c r="K157">
        <v>0.92800000000000005</v>
      </c>
      <c r="L157">
        <v>0.92428940568475404</v>
      </c>
      <c r="M157">
        <v>0.76856599999999997</v>
      </c>
    </row>
    <row r="158" spans="1:16" x14ac:dyDescent="0.3">
      <c r="A158" t="s">
        <v>145</v>
      </c>
      <c r="B158">
        <v>1</v>
      </c>
      <c r="C158">
        <v>1</v>
      </c>
      <c r="D158">
        <v>0.83095433333333324</v>
      </c>
      <c r="E158">
        <v>0.65433333333333332</v>
      </c>
      <c r="F158">
        <v>0.63621262458471739</v>
      </c>
      <c r="G158">
        <v>0.38096900000000006</v>
      </c>
      <c r="H158">
        <v>0.29233333333333333</v>
      </c>
      <c r="I158">
        <v>0.31395348837209269</v>
      </c>
      <c r="J158">
        <v>0.208396</v>
      </c>
      <c r="K158">
        <v>0.158</v>
      </c>
      <c r="L158">
        <v>0.214728682170542</v>
      </c>
      <c r="M158">
        <v>0.17050399999999999</v>
      </c>
    </row>
    <row r="159" spans="1:16" x14ac:dyDescent="0.3">
      <c r="A159" t="s">
        <v>146</v>
      </c>
      <c r="B159">
        <v>1</v>
      </c>
      <c r="C159">
        <v>1</v>
      </c>
      <c r="D159">
        <v>0.97186500000000009</v>
      </c>
      <c r="E159">
        <v>0.73766666666666669</v>
      </c>
      <c r="F159">
        <v>0.72868217054263529</v>
      </c>
      <c r="G159">
        <v>0.50979866666666662</v>
      </c>
      <c r="H159">
        <v>0.41066666666666668</v>
      </c>
      <c r="I159">
        <v>0.40402362495385696</v>
      </c>
      <c r="J159">
        <v>0.23718866666666663</v>
      </c>
      <c r="K159">
        <v>0.18800000000000003</v>
      </c>
      <c r="L159">
        <v>0.22777777777777733</v>
      </c>
      <c r="M159">
        <v>0.15887599999999999</v>
      </c>
    </row>
    <row r="160" spans="1:16" x14ac:dyDescent="0.3">
      <c r="A160" t="s">
        <v>147</v>
      </c>
      <c r="B160">
        <v>1</v>
      </c>
      <c r="C160">
        <v>1</v>
      </c>
      <c r="D160">
        <v>0.192276</v>
      </c>
      <c r="E160">
        <v>1</v>
      </c>
      <c r="F160">
        <v>1</v>
      </c>
      <c r="G160">
        <v>0.87543199999999999</v>
      </c>
      <c r="H160">
        <v>1</v>
      </c>
      <c r="I160">
        <v>1</v>
      </c>
      <c r="J160">
        <v>0.89961066666666678</v>
      </c>
      <c r="K160">
        <v>0.61199999999999999</v>
      </c>
      <c r="L160">
        <v>0.61395348837209263</v>
      </c>
      <c r="M160">
        <v>0.48755799999999999</v>
      </c>
    </row>
    <row r="161" spans="1:13" x14ac:dyDescent="0.3">
      <c r="A161" t="s">
        <v>148</v>
      </c>
      <c r="B161">
        <v>1</v>
      </c>
      <c r="C161">
        <v>1</v>
      </c>
      <c r="D161">
        <v>1.4221000000000003E-2</v>
      </c>
      <c r="E161">
        <v>1</v>
      </c>
      <c r="F161">
        <v>1</v>
      </c>
      <c r="G161">
        <v>0.67406633333333332</v>
      </c>
      <c r="H161">
        <v>1</v>
      </c>
      <c r="I161">
        <v>1</v>
      </c>
      <c r="J161">
        <v>0.98912699999999998</v>
      </c>
      <c r="K161">
        <v>0.749</v>
      </c>
      <c r="L161">
        <v>0.75051679586563269</v>
      </c>
      <c r="M161">
        <v>0.61546500000000004</v>
      </c>
    </row>
    <row r="162" spans="1:13" x14ac:dyDescent="0.3">
      <c r="A162" t="s">
        <v>149</v>
      </c>
      <c r="B162">
        <v>1</v>
      </c>
      <c r="C162">
        <v>1</v>
      </c>
      <c r="D162">
        <v>8.1376666666666663E-3</v>
      </c>
      <c r="E162">
        <v>1</v>
      </c>
      <c r="F162">
        <v>1</v>
      </c>
      <c r="G162">
        <v>0.18458666666666668</v>
      </c>
      <c r="H162">
        <v>1</v>
      </c>
      <c r="I162">
        <v>1</v>
      </c>
      <c r="J162">
        <v>0.40699333333333332</v>
      </c>
      <c r="K162">
        <v>0.99799999999999989</v>
      </c>
      <c r="L162">
        <v>0.997674418604651</v>
      </c>
      <c r="M162">
        <v>0.93174400000000002</v>
      </c>
    </row>
    <row r="163" spans="1:13" x14ac:dyDescent="0.3">
      <c r="A163" t="s">
        <v>138</v>
      </c>
      <c r="B163">
        <v>1</v>
      </c>
      <c r="C163">
        <v>1</v>
      </c>
      <c r="D163">
        <v>5.0000000000000001E-3</v>
      </c>
      <c r="E163">
        <v>1</v>
      </c>
      <c r="F163">
        <v>1</v>
      </c>
      <c r="G163">
        <v>1.7365999999999999E-2</v>
      </c>
      <c r="H163">
        <v>1</v>
      </c>
      <c r="I163">
        <v>1</v>
      </c>
      <c r="J163">
        <v>0.11057399999999999</v>
      </c>
      <c r="K163">
        <v>1</v>
      </c>
      <c r="L163">
        <v>1</v>
      </c>
      <c r="M163">
        <v>0.99957399999999996</v>
      </c>
    </row>
    <row r="164" spans="1:13" x14ac:dyDescent="0.3">
      <c r="A164" t="s">
        <v>150</v>
      </c>
      <c r="B164">
        <v>1</v>
      </c>
      <c r="C164">
        <v>1</v>
      </c>
      <c r="D164">
        <v>5.0000000000000001E-3</v>
      </c>
      <c r="E164">
        <v>1</v>
      </c>
      <c r="F164">
        <v>1</v>
      </c>
      <c r="G164">
        <v>3.3977666666666663E-2</v>
      </c>
      <c r="H164">
        <v>1</v>
      </c>
      <c r="I164">
        <v>1</v>
      </c>
      <c r="J164">
        <v>5.6494666666666665E-2</v>
      </c>
      <c r="K164">
        <v>1</v>
      </c>
      <c r="L164">
        <v>1</v>
      </c>
      <c r="M164">
        <v>0.427481</v>
      </c>
    </row>
    <row r="165" spans="1:13" x14ac:dyDescent="0.3">
      <c r="A165" t="s">
        <v>151</v>
      </c>
      <c r="B165">
        <v>1</v>
      </c>
      <c r="C165">
        <v>1</v>
      </c>
      <c r="D165">
        <v>5.0000000000000001E-3</v>
      </c>
      <c r="E165">
        <v>1</v>
      </c>
      <c r="F165">
        <v>1</v>
      </c>
      <c r="G165">
        <v>5.0000000000000001E-3</v>
      </c>
      <c r="H165">
        <v>1</v>
      </c>
      <c r="I165">
        <v>1</v>
      </c>
      <c r="J165">
        <v>8.3223333333333326E-3</v>
      </c>
      <c r="K165">
        <v>1</v>
      </c>
      <c r="L165">
        <v>1</v>
      </c>
      <c r="M165">
        <v>9.9961000000000008E-2</v>
      </c>
    </row>
    <row r="166" spans="1:13" x14ac:dyDescent="0.3">
      <c r="A166" t="s">
        <v>152</v>
      </c>
      <c r="B166">
        <v>1</v>
      </c>
      <c r="C166">
        <v>1</v>
      </c>
      <c r="D166">
        <v>0.51515866666666665</v>
      </c>
      <c r="E166">
        <v>0.99799999999999989</v>
      </c>
      <c r="F166">
        <v>0.99778516057585798</v>
      </c>
      <c r="G166">
        <v>0.89056666666666662</v>
      </c>
      <c r="H166">
        <v>0.78200000000000003</v>
      </c>
      <c r="I166">
        <v>0.76633444075304491</v>
      </c>
      <c r="J166">
        <v>0.44741399999999998</v>
      </c>
      <c r="K166">
        <v>0.13500000000000001</v>
      </c>
      <c r="L166">
        <v>0.17674418604651099</v>
      </c>
      <c r="M166">
        <v>0.17089099999999999</v>
      </c>
    </row>
    <row r="167" spans="1:13" x14ac:dyDescent="0.3">
      <c r="A167" t="s">
        <v>153</v>
      </c>
      <c r="B167">
        <v>1</v>
      </c>
      <c r="C167">
        <v>1</v>
      </c>
      <c r="D167">
        <v>0.157665</v>
      </c>
      <c r="E167">
        <v>1</v>
      </c>
      <c r="F167">
        <v>1</v>
      </c>
      <c r="G167">
        <v>0.98968066666666665</v>
      </c>
      <c r="H167">
        <v>0.97866666666666668</v>
      </c>
      <c r="I167">
        <v>0.97452934662236901</v>
      </c>
      <c r="J167">
        <v>0.65450166666666665</v>
      </c>
      <c r="K167">
        <v>0.27</v>
      </c>
      <c r="L167">
        <v>0.30620155038759633</v>
      </c>
      <c r="M167">
        <v>0.23910899999999999</v>
      </c>
    </row>
    <row r="168" spans="1:13" x14ac:dyDescent="0.3">
      <c r="A168" t="s">
        <v>154</v>
      </c>
      <c r="B168">
        <v>1</v>
      </c>
      <c r="C168">
        <v>1</v>
      </c>
      <c r="D168">
        <v>5.5536666666666677E-3</v>
      </c>
      <c r="E168">
        <v>1</v>
      </c>
      <c r="F168">
        <v>1</v>
      </c>
      <c r="G168">
        <v>7.9012666666666675E-2</v>
      </c>
      <c r="H168">
        <v>1</v>
      </c>
      <c r="I168">
        <v>1</v>
      </c>
      <c r="J168">
        <v>0.32209133333333329</v>
      </c>
      <c r="K168">
        <v>1</v>
      </c>
      <c r="L168">
        <v>1</v>
      </c>
      <c r="M168">
        <v>0.92437999999999987</v>
      </c>
    </row>
    <row r="169" spans="1:13" x14ac:dyDescent="0.3">
      <c r="A169" t="s">
        <v>155</v>
      </c>
      <c r="B169">
        <v>1</v>
      </c>
      <c r="C169">
        <v>1</v>
      </c>
      <c r="D169">
        <v>5.0000000000000001E-3</v>
      </c>
      <c r="E169">
        <v>1</v>
      </c>
      <c r="F169">
        <v>1</v>
      </c>
      <c r="G169">
        <v>7.3993333333333333E-3</v>
      </c>
      <c r="H169">
        <v>1</v>
      </c>
      <c r="I169">
        <v>1</v>
      </c>
      <c r="J169">
        <v>3.5454000000000006E-2</v>
      </c>
      <c r="K169">
        <v>1</v>
      </c>
      <c r="L169">
        <v>1</v>
      </c>
      <c r="M169">
        <v>0.99569799999999997</v>
      </c>
    </row>
    <row r="170" spans="1:13" x14ac:dyDescent="0.3">
      <c r="A170" t="s">
        <v>156</v>
      </c>
      <c r="B170">
        <v>1</v>
      </c>
      <c r="C170">
        <v>1</v>
      </c>
      <c r="D170">
        <v>5.0000000000000001E-3</v>
      </c>
      <c r="E170">
        <v>1</v>
      </c>
      <c r="F170">
        <v>1</v>
      </c>
      <c r="G170">
        <v>5.0000000000000001E-3</v>
      </c>
      <c r="H170">
        <v>1</v>
      </c>
      <c r="I170">
        <v>1</v>
      </c>
      <c r="J170">
        <v>6.4763333333333339E-3</v>
      </c>
      <c r="K170">
        <v>1</v>
      </c>
      <c r="L170">
        <v>1</v>
      </c>
      <c r="M170">
        <v>0.24879799999999999</v>
      </c>
    </row>
    <row r="171" spans="1:13" x14ac:dyDescent="0.3">
      <c r="A171" t="s">
        <v>157</v>
      </c>
      <c r="B171">
        <v>1</v>
      </c>
      <c r="C171">
        <v>1</v>
      </c>
      <c r="D171">
        <v>5.0000000000000001E-3</v>
      </c>
      <c r="E171">
        <v>1</v>
      </c>
      <c r="F171">
        <v>1</v>
      </c>
      <c r="G171">
        <v>5.0000000000000001E-3</v>
      </c>
      <c r="H171">
        <v>1</v>
      </c>
      <c r="I171">
        <v>1</v>
      </c>
      <c r="J171">
        <v>5.0000000000000001E-3</v>
      </c>
      <c r="K171">
        <v>1</v>
      </c>
      <c r="L171">
        <v>1</v>
      </c>
      <c r="M171">
        <v>5.8100999999999993E-2</v>
      </c>
    </row>
    <row r="172" spans="1:13" x14ac:dyDescent="0.3">
      <c r="A172" t="s">
        <v>158</v>
      </c>
      <c r="B172">
        <v>1</v>
      </c>
      <c r="C172">
        <v>1</v>
      </c>
      <c r="D172">
        <v>5.0000000000000001E-3</v>
      </c>
      <c r="E172">
        <v>1</v>
      </c>
      <c r="F172">
        <v>1</v>
      </c>
      <c r="G172">
        <v>5.0000000000000001E-3</v>
      </c>
      <c r="H172">
        <v>1</v>
      </c>
      <c r="I172">
        <v>1</v>
      </c>
      <c r="J172">
        <v>7.3996666666666664E-3</v>
      </c>
      <c r="K172">
        <v>1</v>
      </c>
      <c r="L172">
        <v>1</v>
      </c>
      <c r="M172">
        <v>1.0038999999999999E-2</v>
      </c>
    </row>
    <row r="173" spans="1:13" x14ac:dyDescent="0.3">
      <c r="A173" t="s">
        <v>159</v>
      </c>
      <c r="B173">
        <v>1</v>
      </c>
      <c r="C173">
        <v>1</v>
      </c>
      <c r="D173">
        <v>5.0000000000000001E-3</v>
      </c>
      <c r="E173">
        <v>1</v>
      </c>
      <c r="F173">
        <v>1</v>
      </c>
      <c r="G173">
        <v>5.0000000000000001E-3</v>
      </c>
      <c r="H173">
        <v>1</v>
      </c>
      <c r="I173">
        <v>1</v>
      </c>
      <c r="J173">
        <v>5.0000000000000001E-3</v>
      </c>
      <c r="K173">
        <v>1</v>
      </c>
      <c r="L173">
        <v>1</v>
      </c>
      <c r="M173">
        <v>5.0000000000000001E-3</v>
      </c>
    </row>
    <row r="174" spans="1:13" x14ac:dyDescent="0.3">
      <c r="A174" t="s">
        <v>160</v>
      </c>
      <c r="B174">
        <v>1</v>
      </c>
      <c r="C174">
        <v>1</v>
      </c>
      <c r="D174">
        <v>0.12861966666666669</v>
      </c>
      <c r="E174">
        <v>1</v>
      </c>
      <c r="F174">
        <v>1</v>
      </c>
      <c r="G174">
        <v>0.67646566666666674</v>
      </c>
      <c r="H174">
        <v>1</v>
      </c>
      <c r="I174">
        <v>1</v>
      </c>
      <c r="J174">
        <v>0.9415079999999999</v>
      </c>
      <c r="K174">
        <v>0.42799999999999999</v>
      </c>
      <c r="L174">
        <v>0.43062015503875939</v>
      </c>
      <c r="M174">
        <v>0.34531000000000001</v>
      </c>
    </row>
    <row r="175" spans="1:13" x14ac:dyDescent="0.3">
      <c r="A175" t="s">
        <v>161</v>
      </c>
      <c r="B175">
        <v>1</v>
      </c>
      <c r="C175">
        <v>1</v>
      </c>
      <c r="D175">
        <v>5.0000000000000001E-3</v>
      </c>
      <c r="E175">
        <v>1</v>
      </c>
      <c r="F175">
        <v>1</v>
      </c>
      <c r="G175">
        <v>0.37469366666666665</v>
      </c>
      <c r="H175">
        <v>1</v>
      </c>
      <c r="I175">
        <v>1</v>
      </c>
      <c r="J175">
        <v>0.79514366666666658</v>
      </c>
      <c r="K175">
        <v>0.98799999999999999</v>
      </c>
      <c r="L175">
        <v>0.98565891472868195</v>
      </c>
      <c r="M175">
        <v>0.80810100000000007</v>
      </c>
    </row>
    <row r="176" spans="1:13" x14ac:dyDescent="0.3">
      <c r="A176" t="s">
        <v>162</v>
      </c>
      <c r="B176">
        <v>1</v>
      </c>
      <c r="C176">
        <v>1</v>
      </c>
      <c r="D176">
        <v>5.0000000000000001E-3</v>
      </c>
      <c r="E176">
        <v>1</v>
      </c>
      <c r="F176">
        <v>1</v>
      </c>
      <c r="G176">
        <v>5.0000000000000001E-3</v>
      </c>
      <c r="H176">
        <v>1</v>
      </c>
      <c r="I176">
        <v>1</v>
      </c>
      <c r="J176">
        <v>6.8456666666666666E-3</v>
      </c>
      <c r="K176">
        <v>1</v>
      </c>
      <c r="L176">
        <v>1</v>
      </c>
      <c r="M176">
        <v>0.24686</v>
      </c>
    </row>
    <row r="177" spans="1:13" x14ac:dyDescent="0.3">
      <c r="A177" t="s">
        <v>163</v>
      </c>
      <c r="B177">
        <v>1</v>
      </c>
      <c r="C177">
        <v>1</v>
      </c>
      <c r="D177">
        <v>5.0000000000000001E-3</v>
      </c>
      <c r="E177">
        <v>1</v>
      </c>
      <c r="F177">
        <v>1</v>
      </c>
      <c r="G177">
        <v>5.0000000000000001E-3</v>
      </c>
      <c r="H177">
        <v>1</v>
      </c>
      <c r="I177">
        <v>1</v>
      </c>
      <c r="J177">
        <v>5.0000000000000001E-3</v>
      </c>
      <c r="K177">
        <v>1</v>
      </c>
      <c r="L177">
        <v>1</v>
      </c>
      <c r="M177">
        <v>4.0659000000000001E-2</v>
      </c>
    </row>
    <row r="178" spans="1:13" x14ac:dyDescent="0.3">
      <c r="A178" t="s">
        <v>164</v>
      </c>
      <c r="B178">
        <v>1</v>
      </c>
      <c r="C178">
        <v>1</v>
      </c>
      <c r="D178">
        <v>5.0000000000000001E-3</v>
      </c>
      <c r="E178">
        <v>1</v>
      </c>
      <c r="F178">
        <v>1</v>
      </c>
      <c r="G178">
        <v>5.0000000000000001E-3</v>
      </c>
      <c r="H178">
        <v>1</v>
      </c>
      <c r="I178">
        <v>1</v>
      </c>
      <c r="J178">
        <v>5.0000000000000001E-3</v>
      </c>
      <c r="K178">
        <v>1</v>
      </c>
      <c r="L178">
        <v>1</v>
      </c>
      <c r="M178">
        <v>5.7749999999999998E-3</v>
      </c>
    </row>
    <row r="179" spans="1:13" x14ac:dyDescent="0.3">
      <c r="A179" t="s">
        <v>165</v>
      </c>
      <c r="B179">
        <v>1</v>
      </c>
      <c r="C179">
        <v>1</v>
      </c>
      <c r="D179">
        <v>5.0000000000000001E-3</v>
      </c>
      <c r="E179">
        <v>0.99799999999999989</v>
      </c>
      <c r="F179">
        <v>0.99778516057585798</v>
      </c>
      <c r="G179">
        <v>5.0000000000000001E-3</v>
      </c>
      <c r="H179">
        <v>1</v>
      </c>
      <c r="I179">
        <v>1</v>
      </c>
      <c r="J179">
        <v>5.0000000000000001E-3</v>
      </c>
      <c r="K179">
        <v>1</v>
      </c>
      <c r="L179">
        <v>1</v>
      </c>
      <c r="M179">
        <v>5.0000000000000001E-3</v>
      </c>
    </row>
    <row r="180" spans="1:13" x14ac:dyDescent="0.3">
      <c r="A180" t="s">
        <v>166</v>
      </c>
      <c r="B180">
        <v>1</v>
      </c>
      <c r="C180">
        <v>1</v>
      </c>
      <c r="D180">
        <v>5.5536666666666677E-3</v>
      </c>
      <c r="E180">
        <v>1</v>
      </c>
      <c r="F180">
        <v>1</v>
      </c>
      <c r="G180">
        <v>3.6930666666666667E-2</v>
      </c>
      <c r="H180">
        <v>1</v>
      </c>
      <c r="I180">
        <v>1</v>
      </c>
      <c r="J180">
        <v>1.1460333333333335E-2</v>
      </c>
      <c r="K180">
        <v>1</v>
      </c>
      <c r="L180">
        <v>1</v>
      </c>
      <c r="M180">
        <v>6.1629999999999992E-3</v>
      </c>
    </row>
    <row r="181" spans="1:13" x14ac:dyDescent="0.3">
      <c r="A181" t="s">
        <v>167</v>
      </c>
      <c r="B181">
        <v>1</v>
      </c>
      <c r="C181">
        <v>1</v>
      </c>
      <c r="D181">
        <v>5.0000000000000001E-3</v>
      </c>
      <c r="E181">
        <v>0.999</v>
      </c>
      <c r="F181">
        <v>0.99889258028792904</v>
      </c>
      <c r="G181">
        <v>5.5536666666666677E-3</v>
      </c>
      <c r="H181">
        <v>1</v>
      </c>
      <c r="I181">
        <v>1</v>
      </c>
      <c r="J181">
        <v>5.0000000000000001E-3</v>
      </c>
      <c r="K181">
        <v>1</v>
      </c>
      <c r="L181">
        <v>1</v>
      </c>
      <c r="M181">
        <v>5.0000000000000001E-3</v>
      </c>
    </row>
    <row r="208" spans="2:4" x14ac:dyDescent="0.3">
      <c r="B208" s="7" t="s">
        <v>404</v>
      </c>
      <c r="C208" s="7"/>
      <c r="D208" s="7"/>
    </row>
    <row r="209" spans="1:4" x14ac:dyDescent="0.3">
      <c r="A209" t="s">
        <v>403</v>
      </c>
      <c r="B209" t="s">
        <v>388</v>
      </c>
      <c r="C209" t="s">
        <v>7</v>
      </c>
      <c r="D209" t="s">
        <v>8</v>
      </c>
    </row>
    <row r="210" spans="1:4" x14ac:dyDescent="0.3">
      <c r="A210">
        <v>500</v>
      </c>
      <c r="B210" t="s">
        <v>135</v>
      </c>
      <c r="C210" t="s">
        <v>135</v>
      </c>
      <c r="D210" t="s">
        <v>138</v>
      </c>
    </row>
    <row r="211" spans="1:4" x14ac:dyDescent="0.3">
      <c r="A211">
        <v>1000</v>
      </c>
      <c r="B211" t="s">
        <v>135</v>
      </c>
      <c r="C211" t="s">
        <v>135</v>
      </c>
      <c r="D211" t="s">
        <v>151</v>
      </c>
    </row>
    <row r="212" spans="1:4" x14ac:dyDescent="0.3">
      <c r="A212">
        <v>1500</v>
      </c>
      <c r="B212" t="s">
        <v>135</v>
      </c>
      <c r="C212" t="s">
        <v>135</v>
      </c>
      <c r="D212" t="s">
        <v>157</v>
      </c>
    </row>
    <row r="213" spans="1:4" x14ac:dyDescent="0.3">
      <c r="A213">
        <v>3000</v>
      </c>
      <c r="B213" t="s">
        <v>141</v>
      </c>
      <c r="C213" t="s">
        <v>141</v>
      </c>
      <c r="D213" t="s">
        <v>159</v>
      </c>
    </row>
  </sheetData>
  <mergeCells count="1">
    <mergeCell ref="B208:D2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Formatted</vt:lpstr>
      <vt:lpstr>Memory</vt:lpstr>
      <vt:lpstr>Runtime</vt:lpstr>
      <vt:lpstr>Test assignment</vt:lpstr>
      <vt:lpstr>PCA</vt:lpstr>
      <vt:lpstr>CP</vt:lpstr>
      <vt:lpstr>Tucker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Chan</dc:creator>
  <cp:keywords/>
  <dc:description/>
  <cp:lastModifiedBy>Anthony Chan</cp:lastModifiedBy>
  <cp:revision/>
  <dcterms:created xsi:type="dcterms:W3CDTF">2025-11-08T21:34:37Z</dcterms:created>
  <dcterms:modified xsi:type="dcterms:W3CDTF">2026-01-13T04:26:30Z</dcterms:modified>
  <cp:category/>
  <cp:contentStatus/>
</cp:coreProperties>
</file>